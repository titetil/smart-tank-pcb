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etilengineering-my.sharepoint.com/personal/gtetil_tetilengineering_onmicrosoft_com/Documents/Documents/Projects/smart-tank-pcb/Motherboard/"/>
    </mc:Choice>
  </mc:AlternateContent>
  <xr:revisionPtr revIDLastSave="5" documentId="11_9B465D10C7D809D967C5F46EE102C561F1367BE4" xr6:coauthVersionLast="47" xr6:coauthVersionMax="47" xr10:uidLastSave="{3FC78B4A-1480-4D84-8484-5B656E88F6FF}"/>
  <bookViews>
    <workbookView xWindow="28680" yWindow="-120" windowWidth="29040" windowHeight="16440" xr2:uid="{00000000-000D-0000-FFFF-FFFF00000000}"/>
  </bookViews>
  <sheets>
    <sheet name="BOM v1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 l="1"/>
  <c r="G74" i="1"/>
  <c r="I73" i="1"/>
  <c r="I71" i="1"/>
  <c r="G71" i="1"/>
  <c r="I70" i="1"/>
  <c r="G70" i="1"/>
  <c r="G68" i="1"/>
  <c r="G67" i="1"/>
  <c r="I65" i="1"/>
  <c r="I64" i="1"/>
  <c r="G64" i="1"/>
  <c r="I63" i="1"/>
  <c r="G63" i="1"/>
  <c r="I62" i="1"/>
  <c r="G62" i="1"/>
  <c r="I61" i="1"/>
  <c r="I59" i="1"/>
  <c r="G59" i="1"/>
  <c r="I58" i="1"/>
  <c r="G58" i="1"/>
  <c r="I57" i="1"/>
  <c r="G57" i="1"/>
  <c r="I56" i="1"/>
  <c r="G56" i="1"/>
  <c r="I55" i="1"/>
  <c r="I54" i="1"/>
  <c r="I53" i="1"/>
  <c r="G53" i="1"/>
  <c r="I52" i="1"/>
  <c r="I51" i="1"/>
  <c r="G51" i="1"/>
  <c r="I50" i="1"/>
  <c r="G50" i="1"/>
  <c r="I49" i="1"/>
  <c r="I47" i="1"/>
  <c r="I46" i="1"/>
  <c r="I44" i="1"/>
  <c r="G44" i="1"/>
  <c r="I43" i="1"/>
  <c r="G43" i="1"/>
  <c r="I42" i="1"/>
  <c r="G42" i="1"/>
  <c r="I40" i="1"/>
  <c r="G40" i="1"/>
  <c r="I39" i="1"/>
  <c r="I38" i="1"/>
  <c r="I37" i="1"/>
  <c r="I36" i="1"/>
  <c r="I34" i="1"/>
  <c r="I33" i="1"/>
  <c r="G33" i="1"/>
  <c r="I32" i="1"/>
  <c r="G32" i="1"/>
  <c r="I30" i="1"/>
  <c r="I29" i="1"/>
  <c r="I28" i="1"/>
  <c r="I27" i="1"/>
  <c r="G27" i="1"/>
  <c r="I26" i="1"/>
  <c r="I24" i="1"/>
  <c r="G24" i="1"/>
  <c r="I23" i="1"/>
  <c r="I22" i="1"/>
  <c r="I21" i="1"/>
  <c r="I20" i="1"/>
  <c r="G20" i="1"/>
  <c r="I19" i="1"/>
  <c r="G19" i="1"/>
  <c r="I17" i="1"/>
  <c r="I15" i="1"/>
  <c r="G15" i="1"/>
  <c r="I14" i="1"/>
  <c r="G14" i="1"/>
  <c r="I13" i="1"/>
  <c r="G13" i="1"/>
  <c r="I12" i="1"/>
  <c r="G12" i="1"/>
  <c r="I11" i="1"/>
  <c r="G11" i="1"/>
  <c r="I9" i="1"/>
  <c r="G9" i="1"/>
  <c r="I8" i="1"/>
  <c r="I7" i="1"/>
  <c r="G7" i="1"/>
  <c r="I6" i="1"/>
  <c r="G6" i="1"/>
  <c r="I5" i="1"/>
  <c r="G5" i="1"/>
  <c r="I4" i="1"/>
  <c r="G4" i="1"/>
  <c r="I3" i="1"/>
  <c r="G3" i="1"/>
  <c r="I2" i="1"/>
  <c r="G2" i="1"/>
</calcChain>
</file>

<file path=xl/sharedStrings.xml><?xml version="1.0" encoding="utf-8"?>
<sst xmlns="http://schemas.openxmlformats.org/spreadsheetml/2006/main" count="389" uniqueCount="204">
  <si>
    <t>#</t>
  </si>
  <si>
    <t>Qty</t>
  </si>
  <si>
    <t>Part Number</t>
  </si>
  <si>
    <t>Description</t>
  </si>
  <si>
    <t>Manufacturer</t>
  </si>
  <si>
    <t>Distributor</t>
  </si>
  <si>
    <t>Link</t>
  </si>
  <si>
    <t>Price</t>
  </si>
  <si>
    <t>Total</t>
  </si>
  <si>
    <t>Refdef</t>
  </si>
  <si>
    <t>PCB</t>
  </si>
  <si>
    <t>TE Supplied</t>
  </si>
  <si>
    <t>1755752</t>
  </si>
  <si>
    <t>TERMINAL BLOCK HEADER, MALE, 12A, 4 POS, 5.08mm</t>
  </si>
  <si>
    <t>PHOENIX CONTACT</t>
  </si>
  <si>
    <t>DIGIKEY</t>
  </si>
  <si>
    <t>PWR_CONN1, PUMP_V_CONN_1-6</t>
  </si>
  <si>
    <t>X</t>
  </si>
  <si>
    <t>1792265</t>
  </si>
  <si>
    <t>TERMINAL BLOCK PLUG, FEMALE, 12A, 4 POS, 5.08mm, SCREW</t>
  </si>
  <si>
    <t>-</t>
  </si>
  <si>
    <t>1755778</t>
  </si>
  <si>
    <t>TERMINAL BLOCK HEADER, MALE, 12A, 6 POS, 5.08mm</t>
  </si>
  <si>
    <t>AO_CONN1</t>
  </si>
  <si>
    <t>1792281</t>
  </si>
  <si>
    <t>TERMINAL BLOCK PLUG, FEMALE, 12A, 6 POS, 5.08mm, SCREW</t>
  </si>
  <si>
    <t>1755817</t>
  </si>
  <si>
    <t>TERMINAL BLOCK HEADER, MALE, 12A, 10 POS, 5.08mm</t>
  </si>
  <si>
    <t>GPIO_CONN1, PRESSURE_CONN1, FLOW_CONN1, PH_VOLT_CONN1, SP1-6_CONN1</t>
  </si>
  <si>
    <t>1792320</t>
  </si>
  <si>
    <t>TERMINAL BLOCK PLUG, FEMALE, 12A, 10 POS, 5.08mm, SCREW</t>
  </si>
  <si>
    <t>1906129</t>
  </si>
  <si>
    <t>TERMINAL BLOCK, 30A, 4 POS, 9.53mm, SCREW</t>
  </si>
  <si>
    <t>PUMP_PWR_CONN_1-6, PUMP_CONN_1-6</t>
  </si>
  <si>
    <t>1729128</t>
  </si>
  <si>
    <t>TERMINAL BLOCK, 10A, 2 POS, 5.08mm, SCREW</t>
  </si>
  <si>
    <t>RIO_PWR_CONN_1</t>
  </si>
  <si>
    <t>CBD13W6F35S600X/AA</t>
  </si>
  <si>
    <t>D-SUB CONNECTOR, PCB, FEMALE, 6 POWER, 7 SIGNAL</t>
  </si>
  <si>
    <t>POSITRONIC</t>
  </si>
  <si>
    <t>CTRL_CONN_1-6</t>
  </si>
  <si>
    <t xml:space="preserve">D00000T0/AA </t>
  </si>
  <si>
    <t>JACKSCREWS, FEMALE, PAIR</t>
  </si>
  <si>
    <t xml:space="preserve">CBD13W6M2000Z/AA </t>
  </si>
  <si>
    <t>D-SUB CONNECTOR, MATING, MALE, 6 POWER, 7 SIGNAL</t>
  </si>
  <si>
    <t>MS4012D/AA</t>
  </si>
  <si>
    <t>REMOVABLE CONTACT, SOLDER CUP, SIZE 8, MALE</t>
  </si>
  <si>
    <t>D37000Z00/AA</t>
  </si>
  <si>
    <t>D-SUB HOOD, MALE JACKSCREWS</t>
  </si>
  <si>
    <t>SEAM-40-03.0-S-06-2-A-K-TR</t>
  </si>
  <si>
    <t>.050" SEARAY™, 240 Pins</t>
  </si>
  <si>
    <t>SAMTEC</t>
  </si>
  <si>
    <t>RMC_CONN1</t>
  </si>
  <si>
    <t>SBH11-PBPC-D25-ST-BK</t>
  </si>
  <si>
    <t>CONN HEADER, 0.1", 50 POS, GOLD</t>
  </si>
  <si>
    <t>SULLINS</t>
  </si>
  <si>
    <t>EXPANSION_CONN1</t>
  </si>
  <si>
    <t>SBH21-NBPN-D25-ST-BK</t>
  </si>
  <si>
    <t>CONN HEADER, 2mm, 50 POS, GOLD</t>
  </si>
  <si>
    <t>RIO_AIO_CONN1</t>
  </si>
  <si>
    <t>SBH11-PBPC-D05-ST-BK</t>
  </si>
  <si>
    <t>CONN HEADER, 0.1", 10 POS, GOLD</t>
  </si>
  <si>
    <t>HMI_CONN1, RS232_CONN1, RS485_CONN1, CAN_CONN1</t>
  </si>
  <si>
    <t>HCSD-05-D-02.00-01-N-G</t>
  </si>
  <si>
    <t>10 POS, 0.1", IDC CONNECTOR ASSEMBLY,  2"</t>
  </si>
  <si>
    <t>HCSD-05-D-04.00-01-N-G-R</t>
  </si>
  <si>
    <t>10 POS, 0.1", IDC CONNECTOR ASSEMBLY, REVERSE, 4"</t>
  </si>
  <si>
    <t>TCSD-25-D-01.25-01-N</t>
  </si>
  <si>
    <t>50 POS, 2mm, IDC CONNECTOR ASSEMBLY,  1.25"</t>
  </si>
  <si>
    <t>63969-1</t>
  </si>
  <si>
    <t>CONN QC RCPT 0.205/0.250 SOLDER</t>
  </si>
  <si>
    <t>TE CONNECTIVITY</t>
  </si>
  <si>
    <t>CAL2-12</t>
  </si>
  <si>
    <t>961103-6404-AR</t>
  </si>
  <si>
    <t>CONN HEADER, 3 POS, 0.1", STR, GOLD</t>
  </si>
  <si>
    <t>3M</t>
  </si>
  <si>
    <t>PWR_SEL1</t>
  </si>
  <si>
    <t>SNT-100-BK-G</t>
  </si>
  <si>
    <t>JUMPER, 2 POS, 0.1", GOLD</t>
  </si>
  <si>
    <t>SDA12H1SBD</t>
  </si>
  <si>
    <t>SWITCH SLIDE DIP SPST 0.025A 24V, 12 POS</t>
  </si>
  <si>
    <t>C&amp;K</t>
  </si>
  <si>
    <t>VOLT_SENSE1</t>
  </si>
  <si>
    <t>B3FS-1002P</t>
  </si>
  <si>
    <t>SWITCH TACTILE SPST-NO 0.05A 24V</t>
  </si>
  <si>
    <t>OMRON</t>
  </si>
  <si>
    <t>RST_SW1</t>
  </si>
  <si>
    <t>G6L-1F-DC24</t>
  </si>
  <si>
    <t>RELAY, SPST, 24V COIL, 1A CONTACT</t>
  </si>
  <si>
    <t>E-STOP_RLY1</t>
  </si>
  <si>
    <t>VCF4-1000</t>
  </si>
  <si>
    <t>RELAY SOCKET, 30A</t>
  </si>
  <si>
    <t>TE</t>
  </si>
  <si>
    <t>PWR_RLY_1-6</t>
  </si>
  <si>
    <t>A21CSQ24VDC1.6</t>
  </si>
  <si>
    <t>RELAY AUTOMOTIVE SPDT 40A 24V</t>
  </si>
  <si>
    <t>CIT</t>
  </si>
  <si>
    <t>INA240A2EDRQ1</t>
  </si>
  <si>
    <t>IC CURRENT SENSE 1 CIRCUIT 8SOIC</t>
  </si>
  <si>
    <t>TI</t>
  </si>
  <si>
    <t>PUMP_AMPS_1-6</t>
  </si>
  <si>
    <t>INA240A3EDRQ1</t>
  </si>
  <si>
    <t>CTRL_AMPS_1-6</t>
  </si>
  <si>
    <t>WSL40261L000FEA</t>
  </si>
  <si>
    <t>RES 0.001 OHM 1% 3W 4026</t>
  </si>
  <si>
    <t>VISHAY DALE</t>
  </si>
  <si>
    <t>PUMP_SHUNT_1-6, CTRL_SHUNT_1-6</t>
  </si>
  <si>
    <t>ADS8332IBPWR</t>
  </si>
  <si>
    <t>IC ADC 16BIT SAR 24TSSOP</t>
  </si>
  <si>
    <t>ADC_AI16-23, ADC_AI24-31, ADC_AI32-39, ADC_AI40-47</t>
  </si>
  <si>
    <t>LM358DT</t>
  </si>
  <si>
    <t>IC OPAMP GP 1.1MHZ 8SO</t>
  </si>
  <si>
    <t>ST MICROELECTRONICS</t>
  </si>
  <si>
    <t>U1, U2</t>
  </si>
  <si>
    <t>01220083Z</t>
  </si>
  <si>
    <t>FUSE CLIP CARTRIDGE 250V 30A PCB</t>
  </si>
  <si>
    <t>LITTELFUSE</t>
  </si>
  <si>
    <t>24VDC_FUSE1, PUMP_FUSE_1-6</t>
  </si>
  <si>
    <t>0312003.MXP</t>
  </si>
  <si>
    <t>FUSE GLASS 3A 250VAC 3AB 3AG</t>
  </si>
  <si>
    <t>0326025.MXP</t>
  </si>
  <si>
    <t>FUSE CERM 25A 250VAC 125VDC 3AB</t>
  </si>
  <si>
    <t>ZVN3320FTA</t>
  </si>
  <si>
    <t>MOSFET N-CH 200V 0.60A SOT-23-3</t>
  </si>
  <si>
    <t>DIODES INCORPORATED</t>
  </si>
  <si>
    <t>Q3, Q8, Q12, Q16, Q20, Q24</t>
  </si>
  <si>
    <t>DMN61D8LQ-13</t>
  </si>
  <si>
    <t>MOSFET N-CH 60V 470MA SOT23</t>
  </si>
  <si>
    <t>Q1, Q2, Q10, Q14, Q18, Q22, Q26</t>
  </si>
  <si>
    <t>S1J</t>
  </si>
  <si>
    <t>DIODE STANDARD 600V 1A DO214AC</t>
  </si>
  <si>
    <t>DIOTEC</t>
  </si>
  <si>
    <t>D1, D3, D4, D5, D7, D9</t>
  </si>
  <si>
    <t>1N4148W-TP</t>
  </si>
  <si>
    <t>DIODE GEN PURP 100V 150MA SOD123</t>
  </si>
  <si>
    <t>MICRO COMMERCIAL</t>
  </si>
  <si>
    <t>D6, D8, D10, D12, D14-15</t>
  </si>
  <si>
    <t>RC1206JR-07120RL</t>
  </si>
  <si>
    <t>RES SMD 120 OHM 5% 1/4W 1206</t>
  </si>
  <si>
    <t>YAGEO</t>
  </si>
  <si>
    <t>R19</t>
  </si>
  <si>
    <t>RC1206JR-13150RL</t>
  </si>
  <si>
    <t>RES 150 OHM 5% 1/4W 1206</t>
  </si>
  <si>
    <t>R5, R52, R61, R70, R79, R88</t>
  </si>
  <si>
    <t>RG3216P-2490-B-T1</t>
  </si>
  <si>
    <t>RES SMD 249 OHM 0.1% 1/4W 1206</t>
  </si>
  <si>
    <t>SUSUMU</t>
  </si>
  <si>
    <t>R20-31</t>
  </si>
  <si>
    <t>RC1206JR-132KL</t>
  </si>
  <si>
    <t>RES 2K OHM 5% 1/4W 1206</t>
  </si>
  <si>
    <t>R1, R8-12</t>
  </si>
  <si>
    <t>RC1206JR-0710KL</t>
  </si>
  <si>
    <t>RES 10K OHM 5% 1/4W 1206</t>
  </si>
  <si>
    <t>R6, R49, R58, R67, R76, R85</t>
  </si>
  <si>
    <t>RNCS1206BKE10K0</t>
  </si>
  <si>
    <t>RES SMD 10K OHM 0.1% 1/8W 1206</t>
  </si>
  <si>
    <t>STACKPOLE ELECTRONICS</t>
  </si>
  <si>
    <t>R2, R14, R16, R33, R35, R37, R47, R56, R65, R74, R83, R92</t>
  </si>
  <si>
    <t>RNCF1206BKC15K0</t>
  </si>
  <si>
    <t>RES SMD 15K OHM 0.1% 1/4W 1206</t>
  </si>
  <si>
    <t>R17, R18</t>
  </si>
  <si>
    <t>RNCS1206BKE100K</t>
  </si>
  <si>
    <t>RES SMD 100K OHM 0.1% 1/8W 1206</t>
  </si>
  <si>
    <t>R3, R4, R15, R32, R34, R36, R48, R57, R66, R75, R84, R93</t>
  </si>
  <si>
    <t>RC1206JR-071ML</t>
  </si>
  <si>
    <t>RES SMD 1M OHM 5% 1/4W 1206</t>
  </si>
  <si>
    <t>R7, R55, R64, R73, R82, R91</t>
  </si>
  <si>
    <t>CC1206KRX7R9BB103</t>
  </si>
  <si>
    <t>CAP CER 10000PF 50V X7R 1206</t>
  </si>
  <si>
    <t>C14, C17, C23, C24, C25, C26</t>
  </si>
  <si>
    <t>CC1206KRX7R9BB104</t>
  </si>
  <si>
    <t>0.1µF 50V CERAMIC CAPACITOR X7R 1206</t>
  </si>
  <si>
    <t>C13, C15, C27, C28, C31, C32, C35, C36, C39, C40, C43, C44</t>
  </si>
  <si>
    <t>CC1206ZRY5V7BB475</t>
  </si>
  <si>
    <t>4.7µF 16V CERAMIC CAPACITOR Y5V (F) 1206</t>
  </si>
  <si>
    <t>C1, C3, C4, C6, C7, C9, C10, C12, C20, C21, C29, C30, C33, C34, C37, C38, C41, C42, C45, C46</t>
  </si>
  <si>
    <t>CC1206KKX5R5BB226</t>
  </si>
  <si>
    <t>22µF 6.3V CERAMIC CAPACITOR X5R 1206</t>
  </si>
  <si>
    <t>C2, C5, C8, C11</t>
  </si>
  <si>
    <t>EEE-HD1C100AR</t>
  </si>
  <si>
    <t>CAP ALUM 10UF 20% 16V SMD</t>
  </si>
  <si>
    <t>PANASONIC</t>
  </si>
  <si>
    <t>C16</t>
  </si>
  <si>
    <t>SMTSO-116-12ET</t>
  </si>
  <si>
    <t>SURFACE MOUNT STANDOFF, 3/8", THRU HOLE, FOR 4-40</t>
  </si>
  <si>
    <t>PENN ENGINEERING</t>
  </si>
  <si>
    <t>S1-15, S24-27</t>
  </si>
  <si>
    <t>SMTSO-440-12ET</t>
  </si>
  <si>
    <t>SURFACE MOUNT STANDOFF, 3/8", 4-40</t>
  </si>
  <si>
    <t>S16-23, S28, S29</t>
  </si>
  <si>
    <t>91737A069</t>
  </si>
  <si>
    <t>FILLISTER SCREW, 4-40, 3/16", PACK OF 100</t>
  </si>
  <si>
    <t>McMASTER-CARR</t>
  </si>
  <si>
    <t>SBRIO STAND-OFF</t>
  </si>
  <si>
    <t>91772A113</t>
  </si>
  <si>
    <t>PAN HEAD SCREW, 4-40, 3/4", PACK OF 100</t>
  </si>
  <si>
    <t>PCB STAND-OFF</t>
  </si>
  <si>
    <t>CUSTOM</t>
  </si>
  <si>
    <t>PCB BACKPLATE, 1/2", DELRIN, BLACK</t>
  </si>
  <si>
    <t>R&amp;S TOOL</t>
  </si>
  <si>
    <t>Smart Tank PCB Backplate.dwg</t>
  </si>
  <si>
    <t>91255A622</t>
  </si>
  <si>
    <t>ROUNDED HEAD SCREW, 3/8"-16, 3/4", PACK OF 25</t>
  </si>
  <si>
    <t>Screws for backplate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</si>
</sst>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222222"/>
      <name val="Arial"/>
    </font>
    <font>
      <u/>
      <sz val="10"/>
      <color rgb="FF1155CC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49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horizontal="center" wrapText="1"/>
    </xf>
    <xf numFmtId="164" fontId="1" fillId="2" borderId="0" xfId="0" applyNumberFormat="1" applyFont="1" applyFill="1" applyAlignment="1">
      <alignment horizontal="left" wrapText="1"/>
    </xf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49" fontId="8" fillId="3" borderId="0" xfId="0" applyNumberFormat="1" applyFont="1" applyFill="1" applyAlignment="1">
      <alignment horizontal="left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c-k/SDA12H1SBD/949963" TargetMode="External"/><Relationship Id="rId13" Type="http://schemas.openxmlformats.org/officeDocument/2006/relationships/hyperlink" Target="https://www.digikey.com/en/products/detail/texas-instruments/INA240A3EDRQ1/9861456" TargetMode="External"/><Relationship Id="rId18" Type="http://schemas.openxmlformats.org/officeDocument/2006/relationships/hyperlink" Target="https://www.digikey.com/en/products/detail/yageo/RC1206JR-13150RL/14286768" TargetMode="External"/><Relationship Id="rId3" Type="http://schemas.openxmlformats.org/officeDocument/2006/relationships/hyperlink" Target="https://www.digikey.com/en/products/detail/sullins-connector-solutions/SBH11-PBPC-D05-ST-BK/1990062?s=N4IgTCBcDaIMoCEASBGFBaACgzBhdAIgAwCs6cAKuggNIgC6AvkA" TargetMode="External"/><Relationship Id="rId21" Type="http://schemas.openxmlformats.org/officeDocument/2006/relationships/hyperlink" Target="https://www.digikey.com/en/products/detail/yageo/CC1206KRX7R9BB103/302908" TargetMode="External"/><Relationship Id="rId7" Type="http://schemas.openxmlformats.org/officeDocument/2006/relationships/hyperlink" Target="https://www.digikey.com/en/products/detail/samtec-inc/SNT-100-BK-G/1756763" TargetMode="External"/><Relationship Id="rId12" Type="http://schemas.openxmlformats.org/officeDocument/2006/relationships/hyperlink" Target="https://www.digikey.com/en/products/detail/texas-instruments/INA240A3EDRQ1/9861456" TargetMode="External"/><Relationship Id="rId17" Type="http://schemas.openxmlformats.org/officeDocument/2006/relationships/hyperlink" Target="https://www.digikey.com/en/products/detail/diotec-semiconductor/S1J/13163889" TargetMode="External"/><Relationship Id="rId2" Type="http://schemas.openxmlformats.org/officeDocument/2006/relationships/hyperlink" Target="https://www.digikey.com/en/products/detail/samtec-inc/SEAM-40-03-0-S-06-2-A-K-TR/6561658?s=N4IgTCBcDaIMoFECCBZAtAFgAxqwZgDoc5cA2NMNJNAaTQBUAlEAXQF8g" TargetMode="External"/><Relationship Id="rId16" Type="http://schemas.openxmlformats.org/officeDocument/2006/relationships/hyperlink" Target="https://www.digikey.com/en/products/detail/diodes-incorporated/DMN61D8LQ-13/5488598" TargetMode="External"/><Relationship Id="rId20" Type="http://schemas.openxmlformats.org/officeDocument/2006/relationships/hyperlink" Target="https://www.digikey.com/en/products/detail/yageo/RC1206JR-1310KL/14286743" TargetMode="External"/><Relationship Id="rId1" Type="http://schemas.openxmlformats.org/officeDocument/2006/relationships/hyperlink" Target="https://www.digikey.com/en/products/detail/phoenix-contact/1906129/3597016" TargetMode="External"/><Relationship Id="rId6" Type="http://schemas.openxmlformats.org/officeDocument/2006/relationships/hyperlink" Target="https://www.digikey.com/en/products/detail/te-connectivity-amp-connectors/63969-1/1131770" TargetMode="External"/><Relationship Id="rId11" Type="http://schemas.openxmlformats.org/officeDocument/2006/relationships/hyperlink" Target="https://www.digikey.com/en/products/detail/texas-instruments/INA240A2EDRQ1/9861455?s=N4IgTCBcDaIJIDkCCYAsAGFBRAIgJQEUBGEAXQF8g" TargetMode="External"/><Relationship Id="rId5" Type="http://schemas.openxmlformats.org/officeDocument/2006/relationships/hyperlink" Target="https://www.samtec.com/products/hcsd-05-d-04.00-01-n-g-r" TargetMode="External"/><Relationship Id="rId15" Type="http://schemas.openxmlformats.org/officeDocument/2006/relationships/hyperlink" Target="https://www.digikey.com/en/products/detail/diodes-incorporated/ZVN3320FTA/152481" TargetMode="External"/><Relationship Id="rId10" Type="http://schemas.openxmlformats.org/officeDocument/2006/relationships/hyperlink" Target="https://www.digikey.com/en/products/detail/cit-relay-and-switch/A21CSQ24VDC1-6/12418796" TargetMode="External"/><Relationship Id="rId19" Type="http://schemas.openxmlformats.org/officeDocument/2006/relationships/hyperlink" Target="https://www.digikey.com/en/products/detail/yageo/RC1206JR-132KL/17016463" TargetMode="External"/><Relationship Id="rId4" Type="http://schemas.openxmlformats.org/officeDocument/2006/relationships/hyperlink" Target="https://www.samtec.com/products/hcsd-05-d-02.00-01-n-g" TargetMode="External"/><Relationship Id="rId9" Type="http://schemas.openxmlformats.org/officeDocument/2006/relationships/hyperlink" Target="https://www.digikey.com/en/products/detail/omron-electronics-inc-emc-div/B3FS-1002P/277813" TargetMode="External"/><Relationship Id="rId14" Type="http://schemas.openxmlformats.org/officeDocument/2006/relationships/hyperlink" Target="https://www.digikey.com/en/products/detail/texas-instruments/ADS8332IBPWR/2695887" TargetMode="External"/><Relationship Id="rId22" Type="http://schemas.openxmlformats.org/officeDocument/2006/relationships/hyperlink" Target="https://www.digikey.com/en/products/detail/panasonic-electronic-components/EEE-HD1C100AR/19851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948"/>
  <sheetViews>
    <sheetView tabSelected="1" topLeftCell="A28" workbookViewId="0"/>
  </sheetViews>
  <sheetFormatPr defaultColWidth="12.5703125" defaultRowHeight="15" customHeight="1" x14ac:dyDescent="0.2"/>
  <cols>
    <col min="1" max="1" width="3.42578125" customWidth="1"/>
    <col min="2" max="2" width="5" customWidth="1"/>
    <col min="3" max="3" width="23.85546875" customWidth="1"/>
    <col min="4" max="4" width="53.140625" customWidth="1"/>
    <col min="5" max="5" width="26.5703125" customWidth="1"/>
    <col min="6" max="6" width="18" customWidth="1"/>
    <col min="7" max="7" width="7.42578125" customWidth="1"/>
    <col min="8" max="8" width="10.140625" customWidth="1"/>
    <col min="9" max="9" width="9.42578125" customWidth="1"/>
    <col min="10" max="10" width="34.42578125" customWidth="1"/>
    <col min="11" max="11" width="7.28515625" customWidth="1"/>
    <col min="12" max="12" width="11.85546875" customWidth="1"/>
    <col min="13" max="26" width="15.140625" customWidth="1"/>
  </cols>
  <sheetData>
    <row r="1" spans="1:18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</row>
    <row r="2" spans="1:18" x14ac:dyDescent="0.2">
      <c r="A2" s="1">
        <v>1</v>
      </c>
      <c r="B2" s="6">
        <v>7</v>
      </c>
      <c r="C2" s="7" t="s">
        <v>12</v>
      </c>
      <c r="D2" s="8" t="s">
        <v>13</v>
      </c>
      <c r="E2" s="8" t="s">
        <v>14</v>
      </c>
      <c r="F2" s="8" t="s">
        <v>15</v>
      </c>
      <c r="G2" s="9" t="str">
        <f>HYPERLINK("http://www.digikey.com/product-detail/en/phoenix-contact/1755752/277-1152-ND/260520","Link")</f>
        <v>Link</v>
      </c>
      <c r="H2" s="10">
        <v>1.66</v>
      </c>
      <c r="I2" s="10">
        <f t="shared" ref="I2:I9" si="0">H2*B2</f>
        <v>11.62</v>
      </c>
      <c r="J2" s="8" t="s">
        <v>16</v>
      </c>
      <c r="K2" s="6" t="s">
        <v>17</v>
      </c>
      <c r="L2" s="6"/>
    </row>
    <row r="3" spans="1:18" x14ac:dyDescent="0.2">
      <c r="A3" s="1">
        <v>2</v>
      </c>
      <c r="B3" s="6">
        <v>7</v>
      </c>
      <c r="C3" s="7" t="s">
        <v>18</v>
      </c>
      <c r="D3" s="8" t="s">
        <v>19</v>
      </c>
      <c r="E3" s="8" t="s">
        <v>14</v>
      </c>
      <c r="F3" s="8" t="s">
        <v>15</v>
      </c>
      <c r="G3" s="9" t="str">
        <f>HYPERLINK("http://www.digikey.com/product-detail/en/phoenix-contact/1792265/277-1042-ND/260410","Link")</f>
        <v>Link</v>
      </c>
      <c r="H3" s="10">
        <v>5.01</v>
      </c>
      <c r="I3" s="10">
        <f t="shared" si="0"/>
        <v>35.07</v>
      </c>
      <c r="J3" s="8" t="s">
        <v>20</v>
      </c>
      <c r="K3" s="6"/>
      <c r="L3" s="6"/>
    </row>
    <row r="4" spans="1:18" x14ac:dyDescent="0.2">
      <c r="A4" s="1">
        <v>3</v>
      </c>
      <c r="B4" s="11">
        <v>1</v>
      </c>
      <c r="C4" s="12" t="s">
        <v>21</v>
      </c>
      <c r="D4" s="13" t="s">
        <v>22</v>
      </c>
      <c r="E4" s="13" t="s">
        <v>14</v>
      </c>
      <c r="F4" s="13" t="s">
        <v>15</v>
      </c>
      <c r="G4" s="14" t="str">
        <f>HYPERLINK("http://www.digikey.com/product-search/en?keywords=1755778","Link")</f>
        <v>Link</v>
      </c>
      <c r="H4" s="15">
        <v>1.6279999999999999</v>
      </c>
      <c r="I4" s="15">
        <f t="shared" si="0"/>
        <v>1.6279999999999999</v>
      </c>
      <c r="J4" s="13" t="s">
        <v>23</v>
      </c>
      <c r="K4" s="11" t="s">
        <v>17</v>
      </c>
      <c r="L4" s="11"/>
      <c r="M4" s="13"/>
      <c r="N4" s="13"/>
      <c r="O4" s="13"/>
      <c r="P4" s="13"/>
      <c r="Q4" s="13"/>
      <c r="R4" s="13"/>
    </row>
    <row r="5" spans="1:18" x14ac:dyDescent="0.2">
      <c r="A5" s="1">
        <v>4</v>
      </c>
      <c r="B5" s="11">
        <v>1</v>
      </c>
      <c r="C5" s="12" t="s">
        <v>24</v>
      </c>
      <c r="D5" s="13" t="s">
        <v>25</v>
      </c>
      <c r="E5" s="13" t="s">
        <v>14</v>
      </c>
      <c r="F5" s="13" t="s">
        <v>15</v>
      </c>
      <c r="G5" s="14" t="str">
        <f>HYPERLINK("http://www.digikey.com/product-detail/en/phoenix-contact/1792281/277-1044-ND/260412","Link")</f>
        <v>Link</v>
      </c>
      <c r="H5" s="15">
        <v>5.806</v>
      </c>
      <c r="I5" s="15">
        <f t="shared" si="0"/>
        <v>5.806</v>
      </c>
      <c r="J5" s="13" t="s">
        <v>20</v>
      </c>
      <c r="K5" s="11"/>
      <c r="L5" s="11"/>
      <c r="M5" s="13"/>
      <c r="N5" s="13"/>
      <c r="O5" s="13"/>
      <c r="P5" s="13"/>
      <c r="Q5" s="13"/>
      <c r="R5" s="13"/>
    </row>
    <row r="6" spans="1:18" x14ac:dyDescent="0.2">
      <c r="A6" s="1">
        <v>5</v>
      </c>
      <c r="B6" s="6">
        <v>5</v>
      </c>
      <c r="C6" s="7" t="s">
        <v>26</v>
      </c>
      <c r="D6" s="8" t="s">
        <v>27</v>
      </c>
      <c r="E6" s="8" t="s">
        <v>14</v>
      </c>
      <c r="F6" s="8" t="s">
        <v>15</v>
      </c>
      <c r="G6" s="9" t="str">
        <f>HYPERLINK("http://www.digikey.com/product-detail/en/phoenix-contact/1755817/277-1158-ND/260526","Link")</f>
        <v>Link</v>
      </c>
      <c r="H6" s="10">
        <v>3.66</v>
      </c>
      <c r="I6" s="10">
        <f t="shared" si="0"/>
        <v>18.3</v>
      </c>
      <c r="J6" s="8" t="s">
        <v>28</v>
      </c>
      <c r="K6" s="6" t="s">
        <v>17</v>
      </c>
      <c r="L6" s="6"/>
    </row>
    <row r="7" spans="1:18" x14ac:dyDescent="0.2">
      <c r="A7" s="1">
        <v>6</v>
      </c>
      <c r="B7" s="6">
        <v>5</v>
      </c>
      <c r="C7" s="7" t="s">
        <v>29</v>
      </c>
      <c r="D7" s="8" t="s">
        <v>30</v>
      </c>
      <c r="E7" s="8" t="s">
        <v>14</v>
      </c>
      <c r="F7" s="8" t="s">
        <v>15</v>
      </c>
      <c r="G7" s="9" t="str">
        <f>HYPERLINK("http://www.digikey.com/product-detail/en/phoenix-contact/1792320/277-1048-ND/260416","Link")</f>
        <v>Link</v>
      </c>
      <c r="H7" s="10">
        <v>11.27</v>
      </c>
      <c r="I7" s="10">
        <f t="shared" si="0"/>
        <v>56.349999999999994</v>
      </c>
      <c r="J7" s="8" t="s">
        <v>20</v>
      </c>
      <c r="K7" s="6"/>
      <c r="L7" s="6"/>
    </row>
    <row r="8" spans="1:18" x14ac:dyDescent="0.2">
      <c r="A8" s="1">
        <v>7</v>
      </c>
      <c r="B8" s="6">
        <v>12</v>
      </c>
      <c r="C8" s="7" t="s">
        <v>31</v>
      </c>
      <c r="D8" s="8" t="s">
        <v>32</v>
      </c>
      <c r="E8" s="8" t="s">
        <v>14</v>
      </c>
      <c r="F8" s="8" t="s">
        <v>15</v>
      </c>
      <c r="G8" s="16" t="s">
        <v>6</v>
      </c>
      <c r="H8" s="10">
        <v>4.3</v>
      </c>
      <c r="I8" s="10">
        <f t="shared" si="0"/>
        <v>51.599999999999994</v>
      </c>
      <c r="J8" s="8" t="s">
        <v>33</v>
      </c>
      <c r="K8" s="6" t="s">
        <v>17</v>
      </c>
      <c r="L8" s="6"/>
    </row>
    <row r="9" spans="1:18" x14ac:dyDescent="0.2">
      <c r="A9" s="1">
        <v>8</v>
      </c>
      <c r="B9" s="6">
        <v>1</v>
      </c>
      <c r="C9" s="7" t="s">
        <v>34</v>
      </c>
      <c r="D9" s="8" t="s">
        <v>35</v>
      </c>
      <c r="E9" s="8" t="s">
        <v>14</v>
      </c>
      <c r="F9" s="8" t="s">
        <v>15</v>
      </c>
      <c r="G9" s="9" t="str">
        <f>HYPERLINK("http://www.digikey.com/product-detail/en/phoenix-contact/1729128/277-1247-ND/260615","Link")</f>
        <v>Link</v>
      </c>
      <c r="H9" s="10">
        <v>1.33</v>
      </c>
      <c r="I9" s="10">
        <f t="shared" si="0"/>
        <v>1.33</v>
      </c>
      <c r="J9" s="8" t="s">
        <v>36</v>
      </c>
      <c r="K9" s="6" t="s">
        <v>17</v>
      </c>
      <c r="L9" s="6"/>
    </row>
    <row r="10" spans="1:18" x14ac:dyDescent="0.2">
      <c r="A10" s="1">
        <v>9</v>
      </c>
      <c r="B10" s="6"/>
      <c r="C10" s="7"/>
      <c r="D10" s="8"/>
      <c r="E10" s="8"/>
      <c r="F10" s="8"/>
      <c r="G10" s="6"/>
      <c r="H10" s="10"/>
      <c r="I10" s="10"/>
      <c r="J10" s="8"/>
      <c r="K10" s="6"/>
      <c r="L10" s="6"/>
    </row>
    <row r="11" spans="1:18" x14ac:dyDescent="0.2">
      <c r="A11" s="1">
        <v>10</v>
      </c>
      <c r="B11" s="6">
        <v>6</v>
      </c>
      <c r="C11" s="7" t="s">
        <v>37</v>
      </c>
      <c r="D11" s="8" t="s">
        <v>38</v>
      </c>
      <c r="E11" s="8" t="s">
        <v>39</v>
      </c>
      <c r="F11" s="8" t="s">
        <v>39</v>
      </c>
      <c r="G11" s="9" t="str">
        <f>HYPERLINK("https://www.posishop.com/store/default.aspx?appname=Store&amp;tabname=Product%20Selection&amp;PartNumber=CBD13W6F35S600X/AA&amp;ProdCatID=","Link")</f>
        <v>Link</v>
      </c>
      <c r="H11" s="10">
        <v>25.93</v>
      </c>
      <c r="I11" s="10">
        <f t="shared" ref="I11:I15" si="1">H11*B11</f>
        <v>155.57999999999998</v>
      </c>
      <c r="J11" s="8" t="s">
        <v>40</v>
      </c>
      <c r="K11" s="6" t="s">
        <v>17</v>
      </c>
      <c r="L11" s="6" t="s">
        <v>17</v>
      </c>
    </row>
    <row r="12" spans="1:18" x14ac:dyDescent="0.2">
      <c r="A12" s="1">
        <v>11</v>
      </c>
      <c r="B12" s="6">
        <v>6</v>
      </c>
      <c r="C12" s="7" t="s">
        <v>41</v>
      </c>
      <c r="D12" s="8" t="s">
        <v>42</v>
      </c>
      <c r="E12" s="8" t="s">
        <v>39</v>
      </c>
      <c r="F12" s="8" t="s">
        <v>39</v>
      </c>
      <c r="G12" s="9" t="str">
        <f>HYPERLINK("https://www.posishop.com/store/default.aspx?appname=Store&amp;tabname=Product%20Selection&amp;PartNumber=D00000T0/AA&amp;ProdCatID=","Link")</f>
        <v>Link</v>
      </c>
      <c r="H12" s="10">
        <v>1.07</v>
      </c>
      <c r="I12" s="10">
        <f t="shared" si="1"/>
        <v>6.42</v>
      </c>
      <c r="J12" s="8" t="s">
        <v>20</v>
      </c>
      <c r="K12" s="6"/>
      <c r="L12" s="6" t="s">
        <v>17</v>
      </c>
    </row>
    <row r="13" spans="1:18" x14ac:dyDescent="0.2">
      <c r="A13" s="1">
        <v>12</v>
      </c>
      <c r="B13" s="6">
        <v>6</v>
      </c>
      <c r="C13" s="7" t="s">
        <v>43</v>
      </c>
      <c r="D13" s="8" t="s">
        <v>44</v>
      </c>
      <c r="E13" s="8" t="s">
        <v>39</v>
      </c>
      <c r="F13" s="8" t="s">
        <v>39</v>
      </c>
      <c r="G13" s="9" t="str">
        <f>HYPERLINK("https://www.posishop.com/store/default.aspx?appname=Store&amp;tabname=Product%20Selection&amp;PartNumber=CBD13W6M2000Z/AA&amp;ProdCatID=","Link")</f>
        <v>Link</v>
      </c>
      <c r="H13" s="10">
        <v>5.0199999999999996</v>
      </c>
      <c r="I13" s="10">
        <f t="shared" si="1"/>
        <v>30.119999999999997</v>
      </c>
      <c r="J13" s="8" t="s">
        <v>20</v>
      </c>
      <c r="K13" s="6"/>
      <c r="L13" s="6" t="s">
        <v>17</v>
      </c>
    </row>
    <row r="14" spans="1:18" x14ac:dyDescent="0.2">
      <c r="A14" s="1">
        <v>13</v>
      </c>
      <c r="B14" s="6">
        <v>36</v>
      </c>
      <c r="C14" s="7" t="s">
        <v>45</v>
      </c>
      <c r="D14" s="8" t="s">
        <v>46</v>
      </c>
      <c r="E14" s="8" t="s">
        <v>39</v>
      </c>
      <c r="F14" s="8" t="s">
        <v>39</v>
      </c>
      <c r="G14" s="9" t="str">
        <f>HYPERLINK("https://www.posishop.com/store/default.aspx?appname=Store&amp;tabname=Product%20Selection&amp;PartNumber=MS4012D/AA&amp;ProdCatID=","Link")</f>
        <v>Link</v>
      </c>
      <c r="H14" s="10">
        <v>0.78</v>
      </c>
      <c r="I14" s="10">
        <f t="shared" si="1"/>
        <v>28.080000000000002</v>
      </c>
      <c r="J14" s="8" t="s">
        <v>20</v>
      </c>
      <c r="K14" s="6"/>
      <c r="L14" s="6" t="s">
        <v>17</v>
      </c>
    </row>
    <row r="15" spans="1:18" x14ac:dyDescent="0.2">
      <c r="A15" s="1">
        <v>14</v>
      </c>
      <c r="B15" s="6">
        <v>6</v>
      </c>
      <c r="C15" s="7" t="s">
        <v>47</v>
      </c>
      <c r="D15" s="8" t="s">
        <v>48</v>
      </c>
      <c r="E15" s="8" t="s">
        <v>39</v>
      </c>
      <c r="F15" s="8" t="s">
        <v>39</v>
      </c>
      <c r="G15" s="9" t="str">
        <f>HYPERLINK("https://www.posishop.com/store/default.aspx?appname=Store&amp;tabname=Product+Selection&amp;PartNumber=D37000Z00/AA","Link")</f>
        <v>Link</v>
      </c>
      <c r="H15" s="10">
        <v>6.16</v>
      </c>
      <c r="I15" s="10">
        <f t="shared" si="1"/>
        <v>36.96</v>
      </c>
      <c r="J15" s="8" t="s">
        <v>20</v>
      </c>
      <c r="K15" s="6"/>
      <c r="L15" s="6" t="s">
        <v>17</v>
      </c>
    </row>
    <row r="16" spans="1:18" x14ac:dyDescent="0.2">
      <c r="A16" s="1">
        <v>15</v>
      </c>
      <c r="B16" s="6"/>
      <c r="C16" s="7"/>
      <c r="D16" s="8"/>
      <c r="E16" s="8"/>
      <c r="F16" s="8"/>
      <c r="G16" s="6"/>
      <c r="H16" s="10"/>
      <c r="I16" s="10"/>
      <c r="J16" s="8"/>
      <c r="K16" s="6"/>
      <c r="L16" s="6"/>
    </row>
    <row r="17" spans="1:12" x14ac:dyDescent="0.2">
      <c r="A17" s="1">
        <v>16</v>
      </c>
      <c r="B17" s="6">
        <v>1</v>
      </c>
      <c r="C17" s="7" t="s">
        <v>49</v>
      </c>
      <c r="D17" s="8" t="s">
        <v>50</v>
      </c>
      <c r="E17" s="8" t="s">
        <v>51</v>
      </c>
      <c r="F17" s="8" t="s">
        <v>51</v>
      </c>
      <c r="G17" s="16" t="s">
        <v>6</v>
      </c>
      <c r="H17" s="10">
        <v>22.382000000000001</v>
      </c>
      <c r="I17" s="10">
        <f>H17*B17</f>
        <v>22.382000000000001</v>
      </c>
      <c r="J17" s="8" t="s">
        <v>52</v>
      </c>
      <c r="K17" s="6" t="s">
        <v>17</v>
      </c>
      <c r="L17" s="6"/>
    </row>
    <row r="18" spans="1:12" x14ac:dyDescent="0.2">
      <c r="A18" s="1">
        <v>17</v>
      </c>
      <c r="B18" s="6"/>
      <c r="C18" s="7"/>
      <c r="D18" s="8"/>
      <c r="E18" s="8"/>
      <c r="F18" s="8"/>
      <c r="G18" s="6"/>
      <c r="H18" s="10"/>
      <c r="I18" s="10"/>
      <c r="J18" s="8"/>
      <c r="K18" s="6"/>
      <c r="L18" s="6"/>
    </row>
    <row r="19" spans="1:12" x14ac:dyDescent="0.2">
      <c r="A19" s="1">
        <v>18</v>
      </c>
      <c r="B19" s="6">
        <v>1</v>
      </c>
      <c r="C19" s="7" t="s">
        <v>53</v>
      </c>
      <c r="D19" s="8" t="s">
        <v>54</v>
      </c>
      <c r="E19" s="8" t="s">
        <v>55</v>
      </c>
      <c r="F19" s="8" t="s">
        <v>15</v>
      </c>
      <c r="G19" s="9" t="str">
        <f>HYPERLINK("http://www.digikey.com/product-detail/en/sullins-connector-solutions/SBH11-PBPC-D25-ST-BK/S9176-ND/1990069","Link")</f>
        <v>Link</v>
      </c>
      <c r="H19" s="10">
        <v>0.92</v>
      </c>
      <c r="I19" s="10">
        <f t="shared" ref="I19:I24" si="2">H19*B19</f>
        <v>0.92</v>
      </c>
      <c r="J19" s="8" t="s">
        <v>56</v>
      </c>
      <c r="K19" s="6" t="s">
        <v>17</v>
      </c>
      <c r="L19" s="6"/>
    </row>
    <row r="20" spans="1:12" x14ac:dyDescent="0.2">
      <c r="A20" s="1">
        <v>19</v>
      </c>
      <c r="B20" s="6">
        <v>1</v>
      </c>
      <c r="C20" s="7" t="s">
        <v>57</v>
      </c>
      <c r="D20" s="8" t="s">
        <v>58</v>
      </c>
      <c r="E20" s="8" t="s">
        <v>55</v>
      </c>
      <c r="F20" s="8" t="s">
        <v>15</v>
      </c>
      <c r="G20" s="9" t="str">
        <f>HYPERLINK("http://www.digikey.com/product-detail/en/sullins-connector-solutions/SBH21-NBPN-D25-ST-BK/S9026-ND/1989759","Link")</f>
        <v>Link</v>
      </c>
      <c r="H20" s="10">
        <v>1.27</v>
      </c>
      <c r="I20" s="10">
        <f t="shared" si="2"/>
        <v>1.27</v>
      </c>
      <c r="J20" s="8" t="s">
        <v>59</v>
      </c>
      <c r="K20" s="6" t="s">
        <v>17</v>
      </c>
      <c r="L20" s="6"/>
    </row>
    <row r="21" spans="1:12" x14ac:dyDescent="0.2">
      <c r="A21" s="1">
        <v>20</v>
      </c>
      <c r="B21" s="6">
        <v>4</v>
      </c>
      <c r="C21" s="7" t="s">
        <v>60</v>
      </c>
      <c r="D21" s="8" t="s">
        <v>61</v>
      </c>
      <c r="E21" s="8" t="s">
        <v>55</v>
      </c>
      <c r="F21" s="8" t="s">
        <v>15</v>
      </c>
      <c r="G21" s="16" t="s">
        <v>6</v>
      </c>
      <c r="H21" s="10">
        <v>0.28999999999999998</v>
      </c>
      <c r="I21" s="10">
        <f t="shared" si="2"/>
        <v>1.1599999999999999</v>
      </c>
      <c r="J21" s="8" t="s">
        <v>62</v>
      </c>
      <c r="K21" s="6" t="s">
        <v>17</v>
      </c>
      <c r="L21" s="6"/>
    </row>
    <row r="22" spans="1:12" x14ac:dyDescent="0.2">
      <c r="A22" s="1">
        <v>21</v>
      </c>
      <c r="B22" s="6">
        <v>1</v>
      </c>
      <c r="C22" s="7" t="s">
        <v>63</v>
      </c>
      <c r="D22" s="8" t="s">
        <v>64</v>
      </c>
      <c r="E22" s="8" t="s">
        <v>51</v>
      </c>
      <c r="F22" s="8" t="s">
        <v>51</v>
      </c>
      <c r="G22" s="16" t="s">
        <v>6</v>
      </c>
      <c r="H22" s="10">
        <v>6.59</v>
      </c>
      <c r="I22" s="10">
        <f t="shared" si="2"/>
        <v>6.59</v>
      </c>
      <c r="J22" s="8" t="s">
        <v>20</v>
      </c>
      <c r="K22" s="6"/>
      <c r="L22" s="6" t="s">
        <v>17</v>
      </c>
    </row>
    <row r="23" spans="1:12" x14ac:dyDescent="0.2">
      <c r="A23" s="1">
        <v>22</v>
      </c>
      <c r="B23" s="6">
        <v>1</v>
      </c>
      <c r="C23" s="7" t="s">
        <v>65</v>
      </c>
      <c r="D23" s="8" t="s">
        <v>66</v>
      </c>
      <c r="E23" s="8" t="s">
        <v>51</v>
      </c>
      <c r="F23" s="8" t="s">
        <v>51</v>
      </c>
      <c r="G23" s="16" t="s">
        <v>6</v>
      </c>
      <c r="H23" s="10">
        <v>6.66</v>
      </c>
      <c r="I23" s="10">
        <f t="shared" si="2"/>
        <v>6.66</v>
      </c>
      <c r="J23" s="8" t="s">
        <v>20</v>
      </c>
      <c r="K23" s="6"/>
      <c r="L23" s="6" t="s">
        <v>17</v>
      </c>
    </row>
    <row r="24" spans="1:12" x14ac:dyDescent="0.2">
      <c r="A24" s="1">
        <v>23</v>
      </c>
      <c r="B24" s="6">
        <v>1</v>
      </c>
      <c r="C24" s="7" t="s">
        <v>67</v>
      </c>
      <c r="D24" s="8" t="s">
        <v>68</v>
      </c>
      <c r="E24" s="8" t="s">
        <v>51</v>
      </c>
      <c r="F24" s="8" t="s">
        <v>51</v>
      </c>
      <c r="G24" s="9" t="str">
        <f>HYPERLINK("https://www.samtec.com/products/tcsd","Link")</f>
        <v>Link</v>
      </c>
      <c r="H24" s="10">
        <v>14.28</v>
      </c>
      <c r="I24" s="10">
        <f t="shared" si="2"/>
        <v>14.28</v>
      </c>
      <c r="J24" s="8" t="s">
        <v>20</v>
      </c>
      <c r="K24" s="6"/>
      <c r="L24" s="6" t="s">
        <v>17</v>
      </c>
    </row>
    <row r="25" spans="1:12" x14ac:dyDescent="0.2">
      <c r="A25" s="1">
        <v>24</v>
      </c>
      <c r="B25" s="6"/>
      <c r="C25" s="7"/>
      <c r="D25" s="8"/>
      <c r="E25" s="8"/>
      <c r="F25" s="8"/>
      <c r="G25" s="6"/>
      <c r="H25" s="10"/>
      <c r="I25" s="10"/>
      <c r="J25" s="8"/>
      <c r="K25" s="6"/>
      <c r="L25" s="6"/>
    </row>
    <row r="26" spans="1:12" x14ac:dyDescent="0.2">
      <c r="A26" s="1">
        <v>25</v>
      </c>
      <c r="B26" s="6">
        <v>11</v>
      </c>
      <c r="C26" s="7" t="s">
        <v>69</v>
      </c>
      <c r="D26" s="8" t="s">
        <v>70</v>
      </c>
      <c r="E26" s="8" t="s">
        <v>71</v>
      </c>
      <c r="F26" s="8" t="s">
        <v>15</v>
      </c>
      <c r="G26" s="16" t="s">
        <v>6</v>
      </c>
      <c r="H26" s="10">
        <v>0.26</v>
      </c>
      <c r="I26" s="10">
        <f t="shared" ref="I26:I30" si="3">H26*B26</f>
        <v>2.8600000000000003</v>
      </c>
      <c r="J26" s="8" t="s">
        <v>72</v>
      </c>
      <c r="K26" s="6" t="s">
        <v>17</v>
      </c>
      <c r="L26" s="6"/>
    </row>
    <row r="27" spans="1:12" x14ac:dyDescent="0.2">
      <c r="A27" s="1">
        <v>26</v>
      </c>
      <c r="B27" s="6">
        <v>1</v>
      </c>
      <c r="C27" s="7" t="s">
        <v>73</v>
      </c>
      <c r="D27" s="8" t="s">
        <v>74</v>
      </c>
      <c r="E27" s="8" t="s">
        <v>75</v>
      </c>
      <c r="F27" s="8" t="s">
        <v>15</v>
      </c>
      <c r="G27" s="9" t="str">
        <f>HYPERLINK("https://www.digikey.com/product-detail/en/3m/961103-6404-AR/3M9457-03-ND/7104634?WT.srch=1&amp;gclid=CjwKCAjwtdbLBRALEiwAm8pA5fgsRFLu-qYSKJaBZBPjdB8fqLc0bpMTVom0Je9cjtQr4ZDCU2_krhoCy-0QAvD_BwE","Link")</f>
        <v>Link</v>
      </c>
      <c r="H27" s="10">
        <v>0.56999999999999995</v>
      </c>
      <c r="I27" s="10">
        <f t="shared" si="3"/>
        <v>0.56999999999999995</v>
      </c>
      <c r="J27" s="8" t="s">
        <v>76</v>
      </c>
      <c r="K27" s="6" t="s">
        <v>17</v>
      </c>
      <c r="L27" s="6"/>
    </row>
    <row r="28" spans="1:12" x14ac:dyDescent="0.2">
      <c r="A28" s="1">
        <v>27</v>
      </c>
      <c r="B28" s="6">
        <v>1</v>
      </c>
      <c r="C28" s="7" t="s">
        <v>77</v>
      </c>
      <c r="D28" s="8" t="s">
        <v>78</v>
      </c>
      <c r="E28" s="8" t="s">
        <v>51</v>
      </c>
      <c r="F28" s="8" t="s">
        <v>15</v>
      </c>
      <c r="G28" s="16" t="s">
        <v>6</v>
      </c>
      <c r="H28" s="10">
        <v>0.31</v>
      </c>
      <c r="I28" s="10">
        <f t="shared" si="3"/>
        <v>0.31</v>
      </c>
      <c r="J28" s="8" t="s">
        <v>20</v>
      </c>
      <c r="K28" s="6"/>
      <c r="L28" s="6"/>
    </row>
    <row r="29" spans="1:12" x14ac:dyDescent="0.2">
      <c r="A29" s="1">
        <v>28</v>
      </c>
      <c r="B29" s="6">
        <v>1</v>
      </c>
      <c r="C29" s="7" t="s">
        <v>79</v>
      </c>
      <c r="D29" s="8" t="s">
        <v>80</v>
      </c>
      <c r="E29" s="8" t="s">
        <v>81</v>
      </c>
      <c r="F29" s="8" t="s">
        <v>15</v>
      </c>
      <c r="G29" s="16" t="s">
        <v>6</v>
      </c>
      <c r="H29" s="10">
        <v>3.7</v>
      </c>
      <c r="I29" s="10">
        <f t="shared" si="3"/>
        <v>3.7</v>
      </c>
      <c r="J29" s="8" t="s">
        <v>82</v>
      </c>
      <c r="K29" s="6" t="s">
        <v>17</v>
      </c>
      <c r="L29" s="6"/>
    </row>
    <row r="30" spans="1:12" x14ac:dyDescent="0.2">
      <c r="A30" s="1">
        <v>29</v>
      </c>
      <c r="B30" s="6">
        <v>1</v>
      </c>
      <c r="C30" s="7" t="s">
        <v>83</v>
      </c>
      <c r="D30" s="8" t="s">
        <v>84</v>
      </c>
      <c r="E30" s="8" t="s">
        <v>85</v>
      </c>
      <c r="F30" s="8" t="s">
        <v>15</v>
      </c>
      <c r="G30" s="16" t="s">
        <v>6</v>
      </c>
      <c r="H30" s="10">
        <v>0.45</v>
      </c>
      <c r="I30" s="10">
        <f t="shared" si="3"/>
        <v>0.45</v>
      </c>
      <c r="J30" s="8" t="s">
        <v>86</v>
      </c>
      <c r="K30" s="6" t="s">
        <v>17</v>
      </c>
      <c r="L30" s="6"/>
    </row>
    <row r="31" spans="1:12" x14ac:dyDescent="0.2">
      <c r="A31" s="1">
        <v>30</v>
      </c>
      <c r="B31" s="6"/>
      <c r="C31" s="7"/>
      <c r="D31" s="8"/>
      <c r="E31" s="8"/>
      <c r="F31" s="8"/>
      <c r="G31" s="6"/>
      <c r="H31" s="10"/>
      <c r="I31" s="10"/>
      <c r="J31" s="8"/>
      <c r="K31" s="6"/>
      <c r="L31" s="6"/>
    </row>
    <row r="32" spans="1:12" x14ac:dyDescent="0.2">
      <c r="A32" s="1">
        <v>31</v>
      </c>
      <c r="B32" s="6">
        <v>1</v>
      </c>
      <c r="C32" s="7" t="s">
        <v>87</v>
      </c>
      <c r="D32" s="8" t="s">
        <v>88</v>
      </c>
      <c r="E32" s="8" t="s">
        <v>85</v>
      </c>
      <c r="F32" s="8" t="s">
        <v>15</v>
      </c>
      <c r="G32" s="9" t="str">
        <f>HYPERLINK("http://www.digikey.com/product-detail/en/omron-electronics-inc-emc-div/G6L-1F-DC24/Z2040-ND/503110","Link")</f>
        <v>Link</v>
      </c>
      <c r="H32" s="10">
        <v>3.43</v>
      </c>
      <c r="I32" s="10">
        <f t="shared" ref="I32:I34" si="4">H32*B32</f>
        <v>3.43</v>
      </c>
      <c r="J32" s="8" t="s">
        <v>89</v>
      </c>
      <c r="K32" s="6" t="s">
        <v>17</v>
      </c>
      <c r="L32" s="6"/>
    </row>
    <row r="33" spans="1:12" x14ac:dyDescent="0.2">
      <c r="A33" s="1">
        <v>32</v>
      </c>
      <c r="B33" s="6">
        <v>6</v>
      </c>
      <c r="C33" s="7" t="s">
        <v>90</v>
      </c>
      <c r="D33" s="8" t="s">
        <v>91</v>
      </c>
      <c r="E33" s="8" t="s">
        <v>92</v>
      </c>
      <c r="F33" s="8" t="s">
        <v>15</v>
      </c>
      <c r="G33" s="9" t="str">
        <f>HYPERLINK("http://www.digikey.com/product-detail/en/te-connectivity-potter-brumfield-relays/VCF4-1000/PB232-ND/207273","Link")</f>
        <v>Link</v>
      </c>
      <c r="H33" s="10">
        <v>3.01</v>
      </c>
      <c r="I33" s="10">
        <f t="shared" si="4"/>
        <v>18.059999999999999</v>
      </c>
      <c r="J33" s="8" t="s">
        <v>93</v>
      </c>
      <c r="K33" s="6" t="s">
        <v>17</v>
      </c>
      <c r="L33" s="6"/>
    </row>
    <row r="34" spans="1:12" x14ac:dyDescent="0.2">
      <c r="A34" s="1">
        <v>33</v>
      </c>
      <c r="B34" s="6">
        <v>6</v>
      </c>
      <c r="C34" s="7" t="s">
        <v>94</v>
      </c>
      <c r="D34" s="8" t="s">
        <v>95</v>
      </c>
      <c r="E34" s="8" t="s">
        <v>96</v>
      </c>
      <c r="F34" s="8" t="s">
        <v>15</v>
      </c>
      <c r="G34" s="16" t="s">
        <v>6</v>
      </c>
      <c r="H34" s="10">
        <v>2.5</v>
      </c>
      <c r="I34" s="10">
        <f t="shared" si="4"/>
        <v>15</v>
      </c>
      <c r="J34" s="8" t="s">
        <v>20</v>
      </c>
      <c r="K34" s="6"/>
      <c r="L34" s="6"/>
    </row>
    <row r="35" spans="1:12" x14ac:dyDescent="0.2">
      <c r="A35" s="1">
        <v>34</v>
      </c>
      <c r="B35" s="6"/>
      <c r="C35" s="7"/>
      <c r="D35" s="8"/>
      <c r="E35" s="8"/>
      <c r="F35" s="8"/>
      <c r="G35" s="6"/>
      <c r="H35" s="10"/>
      <c r="I35" s="10"/>
      <c r="J35" s="8"/>
      <c r="K35" s="6"/>
      <c r="L35" s="6"/>
    </row>
    <row r="36" spans="1:12" x14ac:dyDescent="0.2">
      <c r="A36" s="1">
        <v>35</v>
      </c>
      <c r="B36" s="6">
        <v>6</v>
      </c>
      <c r="C36" s="7" t="s">
        <v>97</v>
      </c>
      <c r="D36" s="8" t="s">
        <v>98</v>
      </c>
      <c r="E36" s="8" t="s">
        <v>99</v>
      </c>
      <c r="F36" s="8" t="s">
        <v>15</v>
      </c>
      <c r="G36" s="16" t="s">
        <v>6</v>
      </c>
      <c r="H36" s="10">
        <v>4.03</v>
      </c>
      <c r="I36" s="10">
        <f t="shared" ref="I36:I40" si="5">H36*B36</f>
        <v>24.18</v>
      </c>
      <c r="J36" s="17" t="s">
        <v>100</v>
      </c>
      <c r="K36" s="6" t="s">
        <v>17</v>
      </c>
      <c r="L36" s="6"/>
    </row>
    <row r="37" spans="1:12" x14ac:dyDescent="0.2">
      <c r="A37" s="1">
        <v>36</v>
      </c>
      <c r="B37" s="6">
        <v>6</v>
      </c>
      <c r="C37" s="7" t="s">
        <v>101</v>
      </c>
      <c r="D37" s="8" t="s">
        <v>98</v>
      </c>
      <c r="E37" s="8" t="s">
        <v>99</v>
      </c>
      <c r="F37" s="8" t="s">
        <v>15</v>
      </c>
      <c r="G37" s="16" t="s">
        <v>6</v>
      </c>
      <c r="H37" s="10">
        <v>4.03</v>
      </c>
      <c r="I37" s="10">
        <f t="shared" si="5"/>
        <v>24.18</v>
      </c>
      <c r="J37" s="17" t="s">
        <v>102</v>
      </c>
      <c r="K37" s="6" t="s">
        <v>17</v>
      </c>
      <c r="L37" s="6"/>
    </row>
    <row r="38" spans="1:12" x14ac:dyDescent="0.2">
      <c r="A38" s="1">
        <v>37</v>
      </c>
      <c r="B38" s="6">
        <v>12</v>
      </c>
      <c r="C38" s="7" t="s">
        <v>103</v>
      </c>
      <c r="D38" s="8" t="s">
        <v>104</v>
      </c>
      <c r="E38" s="8" t="s">
        <v>105</v>
      </c>
      <c r="F38" s="8" t="s">
        <v>15</v>
      </c>
      <c r="G38" s="16" t="s">
        <v>6</v>
      </c>
      <c r="H38" s="10">
        <v>2.62</v>
      </c>
      <c r="I38" s="10">
        <f t="shared" si="5"/>
        <v>31.44</v>
      </c>
      <c r="J38" s="17" t="s">
        <v>106</v>
      </c>
      <c r="K38" s="6" t="s">
        <v>17</v>
      </c>
      <c r="L38" s="6"/>
    </row>
    <row r="39" spans="1:12" x14ac:dyDescent="0.2">
      <c r="A39" s="1">
        <v>38</v>
      </c>
      <c r="B39" s="6">
        <v>4</v>
      </c>
      <c r="C39" s="7" t="s">
        <v>107</v>
      </c>
      <c r="D39" s="8" t="s">
        <v>108</v>
      </c>
      <c r="E39" s="8" t="s">
        <v>99</v>
      </c>
      <c r="F39" s="8" t="s">
        <v>15</v>
      </c>
      <c r="G39" s="16" t="s">
        <v>6</v>
      </c>
      <c r="H39" s="10">
        <v>14.4</v>
      </c>
      <c r="I39" s="10">
        <f t="shared" si="5"/>
        <v>57.6</v>
      </c>
      <c r="J39" s="8" t="s">
        <v>109</v>
      </c>
      <c r="K39" s="6" t="s">
        <v>17</v>
      </c>
      <c r="L39" s="6"/>
    </row>
    <row r="40" spans="1:12" x14ac:dyDescent="0.2">
      <c r="A40" s="1">
        <v>39</v>
      </c>
      <c r="B40" s="6">
        <v>2</v>
      </c>
      <c r="C40" s="7" t="s">
        <v>110</v>
      </c>
      <c r="D40" s="8" t="s">
        <v>111</v>
      </c>
      <c r="E40" s="8" t="s">
        <v>112</v>
      </c>
      <c r="F40" s="8" t="s">
        <v>15</v>
      </c>
      <c r="G40" s="9" t="str">
        <f>HYPERLINK("http://www.digikey.com/product-detail/en/stmicroelectronics/LM358DT/497-1591-1-ND/592083","Link")</f>
        <v>Link</v>
      </c>
      <c r="H40" s="10">
        <v>0.18</v>
      </c>
      <c r="I40" s="10">
        <f t="shared" si="5"/>
        <v>0.36</v>
      </c>
      <c r="J40" s="8" t="s">
        <v>113</v>
      </c>
      <c r="K40" s="6" t="s">
        <v>17</v>
      </c>
      <c r="L40" s="6"/>
    </row>
    <row r="41" spans="1:12" x14ac:dyDescent="0.2">
      <c r="A41" s="1">
        <v>40</v>
      </c>
      <c r="B41" s="6"/>
      <c r="C41" s="7"/>
      <c r="D41" s="8"/>
      <c r="E41" s="8"/>
      <c r="F41" s="8"/>
      <c r="G41" s="6"/>
      <c r="H41" s="10"/>
      <c r="I41" s="10"/>
      <c r="J41" s="8"/>
      <c r="K41" s="6"/>
      <c r="L41" s="6"/>
    </row>
    <row r="42" spans="1:12" x14ac:dyDescent="0.2">
      <c r="A42" s="1">
        <v>41</v>
      </c>
      <c r="B42" s="6">
        <v>14</v>
      </c>
      <c r="C42" s="7" t="s">
        <v>114</v>
      </c>
      <c r="D42" s="8" t="s">
        <v>115</v>
      </c>
      <c r="E42" s="8" t="s">
        <v>116</v>
      </c>
      <c r="F42" s="8" t="s">
        <v>15</v>
      </c>
      <c r="G42" s="9" t="str">
        <f>HYPERLINK("http://www.digikey.com/product-detail/en/littelfuse-inc/01220083Z/F3782-ND/2498890","Link")</f>
        <v>Link</v>
      </c>
      <c r="H42" s="10">
        <v>0.86</v>
      </c>
      <c r="I42" s="10">
        <f t="shared" ref="I42:I44" si="6">H42*B42</f>
        <v>12.04</v>
      </c>
      <c r="J42" s="8" t="s">
        <v>117</v>
      </c>
      <c r="K42" s="6" t="s">
        <v>17</v>
      </c>
      <c r="L42" s="6"/>
    </row>
    <row r="43" spans="1:12" x14ac:dyDescent="0.2">
      <c r="A43" s="1">
        <v>42</v>
      </c>
      <c r="B43" s="6">
        <v>1</v>
      </c>
      <c r="C43" s="7" t="s">
        <v>118</v>
      </c>
      <c r="D43" s="8" t="s">
        <v>119</v>
      </c>
      <c r="E43" s="8" t="s">
        <v>116</v>
      </c>
      <c r="F43" s="8" t="s">
        <v>15</v>
      </c>
      <c r="G43" s="9" t="str">
        <f>HYPERLINK("http://www.digikey.com/product-search/en?keywords=0312003.MXP","Link")</f>
        <v>Link</v>
      </c>
      <c r="H43" s="10">
        <v>0.52</v>
      </c>
      <c r="I43" s="10">
        <f t="shared" si="6"/>
        <v>0.52</v>
      </c>
      <c r="J43" s="8" t="s">
        <v>20</v>
      </c>
      <c r="K43" s="6"/>
      <c r="L43" s="6"/>
    </row>
    <row r="44" spans="1:12" x14ac:dyDescent="0.2">
      <c r="A44" s="1">
        <v>43</v>
      </c>
      <c r="B44" s="6">
        <v>6</v>
      </c>
      <c r="C44" s="7" t="s">
        <v>120</v>
      </c>
      <c r="D44" s="8" t="s">
        <v>121</v>
      </c>
      <c r="E44" s="8" t="s">
        <v>116</v>
      </c>
      <c r="F44" s="8" t="s">
        <v>15</v>
      </c>
      <c r="G44" s="9" t="str">
        <f>HYPERLINK("http://www.digikey.com/product-detail/en/littelfuse-inc/0326025.MXP/F1778-ND/778638","Link")</f>
        <v>Link</v>
      </c>
      <c r="H44" s="10">
        <v>2.23</v>
      </c>
      <c r="I44" s="10">
        <f t="shared" si="6"/>
        <v>13.379999999999999</v>
      </c>
      <c r="J44" s="8" t="s">
        <v>20</v>
      </c>
      <c r="K44" s="6"/>
      <c r="L44" s="6"/>
    </row>
    <row r="45" spans="1:12" x14ac:dyDescent="0.2">
      <c r="A45" s="1">
        <v>44</v>
      </c>
      <c r="B45" s="6"/>
      <c r="C45" s="7"/>
      <c r="D45" s="8"/>
      <c r="E45" s="8"/>
      <c r="F45" s="8"/>
      <c r="G45" s="6"/>
      <c r="H45" s="10"/>
      <c r="I45" s="10"/>
      <c r="J45" s="8"/>
      <c r="K45" s="6"/>
      <c r="L45" s="6"/>
    </row>
    <row r="46" spans="1:12" x14ac:dyDescent="0.2">
      <c r="A46" s="1">
        <v>45</v>
      </c>
      <c r="B46" s="6">
        <v>6</v>
      </c>
      <c r="C46" s="18" t="s">
        <v>122</v>
      </c>
      <c r="D46" s="8" t="s">
        <v>123</v>
      </c>
      <c r="E46" s="8" t="s">
        <v>124</v>
      </c>
      <c r="F46" s="8" t="s">
        <v>15</v>
      </c>
      <c r="G46" s="19" t="s">
        <v>6</v>
      </c>
      <c r="H46" s="10">
        <v>0.42</v>
      </c>
      <c r="I46" s="10">
        <f t="shared" ref="I46:I47" si="7">H46*B46</f>
        <v>2.52</v>
      </c>
      <c r="J46" s="8" t="s">
        <v>125</v>
      </c>
      <c r="K46" s="6" t="s">
        <v>17</v>
      </c>
      <c r="L46" s="6"/>
    </row>
    <row r="47" spans="1:12" x14ac:dyDescent="0.2">
      <c r="A47" s="1">
        <v>46</v>
      </c>
      <c r="B47" s="11">
        <v>7</v>
      </c>
      <c r="C47" s="12" t="s">
        <v>126</v>
      </c>
      <c r="D47" s="13" t="s">
        <v>127</v>
      </c>
      <c r="E47" s="13" t="s">
        <v>124</v>
      </c>
      <c r="F47" s="13" t="s">
        <v>15</v>
      </c>
      <c r="G47" s="20" t="s">
        <v>6</v>
      </c>
      <c r="H47" s="15">
        <v>0.74</v>
      </c>
      <c r="I47" s="15">
        <f t="shared" si="7"/>
        <v>5.18</v>
      </c>
      <c r="J47" s="8" t="s">
        <v>128</v>
      </c>
      <c r="K47" s="6" t="s">
        <v>17</v>
      </c>
      <c r="L47" s="6"/>
    </row>
    <row r="48" spans="1:12" x14ac:dyDescent="0.2">
      <c r="A48" s="1">
        <v>47</v>
      </c>
      <c r="B48" s="6"/>
      <c r="C48" s="7"/>
      <c r="D48" s="8"/>
      <c r="E48" s="8"/>
      <c r="F48" s="8"/>
      <c r="G48" s="6"/>
      <c r="H48" s="10"/>
      <c r="I48" s="10"/>
      <c r="J48" s="8"/>
      <c r="K48" s="6"/>
      <c r="L48" s="6"/>
    </row>
    <row r="49" spans="1:12" x14ac:dyDescent="0.2">
      <c r="A49" s="1">
        <v>48</v>
      </c>
      <c r="B49" s="6">
        <v>6</v>
      </c>
      <c r="C49" s="7" t="s">
        <v>129</v>
      </c>
      <c r="D49" s="8" t="s">
        <v>130</v>
      </c>
      <c r="E49" s="8" t="s">
        <v>131</v>
      </c>
      <c r="F49" s="8" t="s">
        <v>15</v>
      </c>
      <c r="G49" s="16" t="s">
        <v>6</v>
      </c>
      <c r="H49" s="10">
        <v>0.14000000000000001</v>
      </c>
      <c r="I49" s="10">
        <f t="shared" ref="I49:I59" si="8">H49*B49</f>
        <v>0.84000000000000008</v>
      </c>
      <c r="J49" s="8" t="s">
        <v>132</v>
      </c>
      <c r="K49" s="6" t="s">
        <v>17</v>
      </c>
      <c r="L49" s="6"/>
    </row>
    <row r="50" spans="1:12" x14ac:dyDescent="0.2">
      <c r="A50" s="1">
        <v>49</v>
      </c>
      <c r="B50" s="6">
        <v>6</v>
      </c>
      <c r="C50" s="7" t="s">
        <v>133</v>
      </c>
      <c r="D50" s="8" t="s">
        <v>134</v>
      </c>
      <c r="E50" s="8" t="s">
        <v>135</v>
      </c>
      <c r="F50" s="8" t="s">
        <v>15</v>
      </c>
      <c r="G50" s="9" t="str">
        <f>HYPERLINK("http://www.digikey.com/product-detail/en/micro-commercial-co/1N4148W-TP/1N4148WTPMSCT-ND/717311","Link")</f>
        <v>Link</v>
      </c>
      <c r="H50" s="10">
        <v>0.125</v>
      </c>
      <c r="I50" s="10">
        <f t="shared" si="8"/>
        <v>0.75</v>
      </c>
      <c r="J50" s="8" t="s">
        <v>136</v>
      </c>
      <c r="K50" s="6" t="s">
        <v>17</v>
      </c>
      <c r="L50" s="6"/>
    </row>
    <row r="51" spans="1:12" x14ac:dyDescent="0.2">
      <c r="A51" s="1">
        <v>50</v>
      </c>
      <c r="B51" s="6">
        <v>1</v>
      </c>
      <c r="C51" s="7" t="s">
        <v>137</v>
      </c>
      <c r="D51" s="8" t="s">
        <v>138</v>
      </c>
      <c r="E51" s="8" t="s">
        <v>139</v>
      </c>
      <c r="F51" s="8" t="s">
        <v>15</v>
      </c>
      <c r="G51" s="9" t="str">
        <f>HYPERLINK("http://www.digikey.com/product-detail/en/yageo/RC1206JR-07120RL/311-120ERCT-ND/732162","Link")</f>
        <v>Link</v>
      </c>
      <c r="H51" s="10">
        <v>2.4E-2</v>
      </c>
      <c r="I51" s="10">
        <f t="shared" si="8"/>
        <v>2.4E-2</v>
      </c>
      <c r="J51" s="8" t="s">
        <v>140</v>
      </c>
      <c r="K51" s="6" t="s">
        <v>17</v>
      </c>
      <c r="L51" s="6"/>
    </row>
    <row r="52" spans="1:12" x14ac:dyDescent="0.2">
      <c r="A52" s="1">
        <v>51</v>
      </c>
      <c r="B52" s="6">
        <v>6</v>
      </c>
      <c r="C52" s="7" t="s">
        <v>141</v>
      </c>
      <c r="D52" s="8" t="s">
        <v>142</v>
      </c>
      <c r="E52" s="8" t="s">
        <v>139</v>
      </c>
      <c r="F52" s="8" t="s">
        <v>15</v>
      </c>
      <c r="G52" s="16" t="s">
        <v>6</v>
      </c>
      <c r="H52" s="10">
        <v>0.1</v>
      </c>
      <c r="I52" s="10">
        <f t="shared" si="8"/>
        <v>0.60000000000000009</v>
      </c>
      <c r="J52" s="8" t="s">
        <v>143</v>
      </c>
      <c r="K52" s="6" t="s">
        <v>17</v>
      </c>
      <c r="L52" s="6"/>
    </row>
    <row r="53" spans="1:12" x14ac:dyDescent="0.2">
      <c r="A53" s="1">
        <v>52</v>
      </c>
      <c r="B53" s="6">
        <v>12</v>
      </c>
      <c r="C53" s="7" t="s">
        <v>144</v>
      </c>
      <c r="D53" s="8" t="s">
        <v>145</v>
      </c>
      <c r="E53" s="8" t="s">
        <v>146</v>
      </c>
      <c r="F53" s="8" t="s">
        <v>15</v>
      </c>
      <c r="G53" s="9" t="str">
        <f>HYPERLINK("http://www.digikey.com/product-detail/en/susumu/RG3216P-2490-B-T1/RG32P249BCT-ND/2078665","Link")</f>
        <v>Link</v>
      </c>
      <c r="H53" s="10">
        <v>0.24</v>
      </c>
      <c r="I53" s="10">
        <f t="shared" si="8"/>
        <v>2.88</v>
      </c>
      <c r="J53" s="8" t="s">
        <v>147</v>
      </c>
      <c r="K53" s="6" t="s">
        <v>17</v>
      </c>
      <c r="L53" s="6"/>
    </row>
    <row r="54" spans="1:12" x14ac:dyDescent="0.2">
      <c r="A54" s="1">
        <v>53</v>
      </c>
      <c r="B54" s="6">
        <v>6</v>
      </c>
      <c r="C54" s="7" t="s">
        <v>148</v>
      </c>
      <c r="D54" s="8" t="s">
        <v>149</v>
      </c>
      <c r="E54" s="8" t="s">
        <v>139</v>
      </c>
      <c r="F54" s="8" t="s">
        <v>15</v>
      </c>
      <c r="G54" s="16" t="s">
        <v>6</v>
      </c>
      <c r="H54" s="10">
        <v>0.1</v>
      </c>
      <c r="I54" s="10">
        <f t="shared" si="8"/>
        <v>0.60000000000000009</v>
      </c>
      <c r="J54" s="8" t="s">
        <v>150</v>
      </c>
      <c r="K54" s="6" t="s">
        <v>17</v>
      </c>
      <c r="L54" s="6"/>
    </row>
    <row r="55" spans="1:12" x14ac:dyDescent="0.2">
      <c r="A55" s="1">
        <v>54</v>
      </c>
      <c r="B55" s="6">
        <v>6</v>
      </c>
      <c r="C55" s="7" t="s">
        <v>151</v>
      </c>
      <c r="D55" s="8" t="s">
        <v>152</v>
      </c>
      <c r="E55" s="8" t="s">
        <v>139</v>
      </c>
      <c r="F55" s="8" t="s">
        <v>15</v>
      </c>
      <c r="G55" s="16" t="s">
        <v>6</v>
      </c>
      <c r="H55" s="10">
        <v>0.1</v>
      </c>
      <c r="I55" s="10">
        <f t="shared" si="8"/>
        <v>0.60000000000000009</v>
      </c>
      <c r="J55" s="8" t="s">
        <v>153</v>
      </c>
      <c r="K55" s="6" t="s">
        <v>17</v>
      </c>
      <c r="L55" s="6"/>
    </row>
    <row r="56" spans="1:12" x14ac:dyDescent="0.2">
      <c r="A56" s="1">
        <v>55</v>
      </c>
      <c r="B56" s="6">
        <v>12</v>
      </c>
      <c r="C56" s="7" t="s">
        <v>154</v>
      </c>
      <c r="D56" s="8" t="s">
        <v>155</v>
      </c>
      <c r="E56" s="8" t="s">
        <v>156</v>
      </c>
      <c r="F56" s="8" t="s">
        <v>15</v>
      </c>
      <c r="G56" s="9" t="str">
        <f>HYPERLINK("https://www.digikey.com/product-detail/en/stackpole-electronics-inc/RNCS1206BKE10K0/RNCS1206BKE10K0CT-ND/1800331","Link")</f>
        <v>Link</v>
      </c>
      <c r="H56" s="10">
        <v>0.17</v>
      </c>
      <c r="I56" s="10">
        <f t="shared" si="8"/>
        <v>2.04</v>
      </c>
      <c r="J56" s="8" t="s">
        <v>157</v>
      </c>
      <c r="K56" s="6" t="s">
        <v>17</v>
      </c>
      <c r="L56" s="6"/>
    </row>
    <row r="57" spans="1:12" x14ac:dyDescent="0.2">
      <c r="A57" s="1">
        <v>56</v>
      </c>
      <c r="B57" s="6">
        <v>2</v>
      </c>
      <c r="C57" s="7" t="s">
        <v>158</v>
      </c>
      <c r="D57" s="8" t="s">
        <v>159</v>
      </c>
      <c r="E57" s="8" t="s">
        <v>156</v>
      </c>
      <c r="F57" s="8" t="s">
        <v>15</v>
      </c>
      <c r="G57" s="9" t="str">
        <f>HYPERLINK("https://www.digikey.com/product-detail/en/stackpole-electronics-inc/RNCF1206BKC15K0/RNCF1206BKC15K0CT-ND/2027173","Link")</f>
        <v>Link</v>
      </c>
      <c r="H57" s="10">
        <v>0.15</v>
      </c>
      <c r="I57" s="10">
        <f t="shared" si="8"/>
        <v>0.3</v>
      </c>
      <c r="J57" s="8" t="s">
        <v>160</v>
      </c>
      <c r="K57" s="6" t="s">
        <v>17</v>
      </c>
      <c r="L57" s="6"/>
    </row>
    <row r="58" spans="1:12" x14ac:dyDescent="0.2">
      <c r="A58" s="1">
        <v>57</v>
      </c>
      <c r="B58" s="6">
        <v>12</v>
      </c>
      <c r="C58" s="7" t="s">
        <v>161</v>
      </c>
      <c r="D58" s="8" t="s">
        <v>162</v>
      </c>
      <c r="E58" s="8" t="s">
        <v>156</v>
      </c>
      <c r="F58" s="8" t="s">
        <v>15</v>
      </c>
      <c r="G58" s="9" t="str">
        <f>HYPERLINK("https://www.digikey.com/product-detail/en/stackpole-electronics-inc/RNCS1206BKE100K/RNCS1206BKE100KCT-ND/1800328","Link")</f>
        <v>Link</v>
      </c>
      <c r="H58" s="10">
        <v>0.17</v>
      </c>
      <c r="I58" s="10">
        <f t="shared" si="8"/>
        <v>2.04</v>
      </c>
      <c r="J58" s="8" t="s">
        <v>163</v>
      </c>
      <c r="K58" s="6" t="s">
        <v>17</v>
      </c>
      <c r="L58" s="6"/>
    </row>
    <row r="59" spans="1:12" x14ac:dyDescent="0.2">
      <c r="A59" s="1">
        <v>58</v>
      </c>
      <c r="B59" s="6">
        <v>6</v>
      </c>
      <c r="C59" s="7" t="s">
        <v>164</v>
      </c>
      <c r="D59" s="8" t="s">
        <v>165</v>
      </c>
      <c r="E59" s="8" t="s">
        <v>139</v>
      </c>
      <c r="F59" s="8" t="s">
        <v>15</v>
      </c>
      <c r="G59" s="9" t="str">
        <f>HYPERLINK("http://www.digikey.com/product-detail/en/yageo/RC1206JR-071ML/311-1.0MERCT-ND/732134","Link")</f>
        <v>Link</v>
      </c>
      <c r="H59" s="10">
        <v>0.1</v>
      </c>
      <c r="I59" s="10">
        <f t="shared" si="8"/>
        <v>0.60000000000000009</v>
      </c>
      <c r="J59" s="8" t="s">
        <v>166</v>
      </c>
      <c r="K59" s="6" t="s">
        <v>17</v>
      </c>
      <c r="L59" s="6"/>
    </row>
    <row r="60" spans="1:12" x14ac:dyDescent="0.2">
      <c r="A60" s="1">
        <v>59</v>
      </c>
      <c r="B60" s="6"/>
      <c r="C60" s="7"/>
      <c r="D60" s="8"/>
      <c r="E60" s="8"/>
      <c r="F60" s="8"/>
      <c r="G60" s="6"/>
      <c r="H60" s="10"/>
      <c r="I60" s="10"/>
      <c r="J60" s="8"/>
      <c r="K60" s="6"/>
      <c r="L60" s="6"/>
    </row>
    <row r="61" spans="1:12" x14ac:dyDescent="0.2">
      <c r="A61" s="1">
        <v>60</v>
      </c>
      <c r="B61" s="6">
        <v>6</v>
      </c>
      <c r="C61" s="7" t="s">
        <v>167</v>
      </c>
      <c r="D61" s="8" t="s">
        <v>168</v>
      </c>
      <c r="E61" s="8" t="s">
        <v>139</v>
      </c>
      <c r="F61" s="8" t="s">
        <v>15</v>
      </c>
      <c r="G61" s="16" t="s">
        <v>6</v>
      </c>
      <c r="H61" s="10">
        <v>0.19</v>
      </c>
      <c r="I61" s="10">
        <f t="shared" ref="I61:I65" si="9">H61*B61</f>
        <v>1.1400000000000001</v>
      </c>
      <c r="J61" s="8" t="s">
        <v>169</v>
      </c>
      <c r="K61" s="6" t="s">
        <v>17</v>
      </c>
      <c r="L61" s="6"/>
    </row>
    <row r="62" spans="1:12" x14ac:dyDescent="0.2">
      <c r="A62" s="1">
        <v>61</v>
      </c>
      <c r="B62" s="6">
        <v>12</v>
      </c>
      <c r="C62" s="7" t="s">
        <v>170</v>
      </c>
      <c r="D62" s="8" t="s">
        <v>171</v>
      </c>
      <c r="E62" s="8" t="s">
        <v>139</v>
      </c>
      <c r="F62" s="8" t="s">
        <v>15</v>
      </c>
      <c r="G62" s="9" t="str">
        <f>HYPERLINK("http://www.digikey.com/product-detail/en/yageo/CC1206KRX7R9BB104/311-1179-1-ND/303089","Link")</f>
        <v>Link</v>
      </c>
      <c r="H62" s="10">
        <v>0.15</v>
      </c>
      <c r="I62" s="10">
        <f t="shared" si="9"/>
        <v>1.7999999999999998</v>
      </c>
      <c r="J62" s="8" t="s">
        <v>172</v>
      </c>
      <c r="K62" s="6" t="s">
        <v>17</v>
      </c>
      <c r="L62" s="6"/>
    </row>
    <row r="63" spans="1:12" x14ac:dyDescent="0.2">
      <c r="A63" s="1">
        <v>62</v>
      </c>
      <c r="B63" s="6">
        <v>20</v>
      </c>
      <c r="C63" s="7" t="s">
        <v>173</v>
      </c>
      <c r="D63" s="8" t="s">
        <v>174</v>
      </c>
      <c r="E63" s="8" t="s">
        <v>139</v>
      </c>
      <c r="F63" s="8" t="s">
        <v>15</v>
      </c>
      <c r="G63" s="9" t="str">
        <f>HYPERLINK("http://www.digikey.com/product-detail/en/yageo/CC1206ZRY5V7BB475/311-2011-1-ND/5195913","Link")</f>
        <v>Link</v>
      </c>
      <c r="H63" s="10">
        <v>0.21</v>
      </c>
      <c r="I63" s="10">
        <f t="shared" si="9"/>
        <v>4.2</v>
      </c>
      <c r="J63" s="8" t="s">
        <v>175</v>
      </c>
      <c r="K63" s="6" t="s">
        <v>17</v>
      </c>
      <c r="L63" s="6"/>
    </row>
    <row r="64" spans="1:12" x14ac:dyDescent="0.2">
      <c r="A64" s="1">
        <v>63</v>
      </c>
      <c r="B64" s="6">
        <v>4</v>
      </c>
      <c r="C64" s="7" t="s">
        <v>176</v>
      </c>
      <c r="D64" s="8" t="s">
        <v>177</v>
      </c>
      <c r="E64" s="8" t="s">
        <v>139</v>
      </c>
      <c r="F64" s="8" t="s">
        <v>15</v>
      </c>
      <c r="G64" s="9" t="str">
        <f>HYPERLINK("http://www.digikey.com/product-detail/en/yageo/CC1206KKX5R5BB226/311-1937-1-ND/5195839","Link")</f>
        <v>Link</v>
      </c>
      <c r="H64" s="10">
        <v>0.3</v>
      </c>
      <c r="I64" s="10">
        <f t="shared" si="9"/>
        <v>1.2</v>
      </c>
      <c r="J64" s="8" t="s">
        <v>178</v>
      </c>
      <c r="K64" s="6" t="s">
        <v>17</v>
      </c>
      <c r="L64" s="6"/>
    </row>
    <row r="65" spans="1:12" x14ac:dyDescent="0.2">
      <c r="A65" s="1">
        <v>64</v>
      </c>
      <c r="B65" s="6">
        <v>1</v>
      </c>
      <c r="C65" s="7" t="s">
        <v>179</v>
      </c>
      <c r="D65" s="8" t="s">
        <v>180</v>
      </c>
      <c r="E65" s="8" t="s">
        <v>181</v>
      </c>
      <c r="F65" s="8" t="s">
        <v>15</v>
      </c>
      <c r="G65" s="16" t="s">
        <v>6</v>
      </c>
      <c r="H65" s="10">
        <v>0.42</v>
      </c>
      <c r="I65" s="10">
        <f t="shared" si="9"/>
        <v>0.42</v>
      </c>
      <c r="J65" s="8" t="s">
        <v>182</v>
      </c>
      <c r="K65" s="6" t="s">
        <v>17</v>
      </c>
      <c r="L65" s="6"/>
    </row>
    <row r="66" spans="1:12" x14ac:dyDescent="0.2">
      <c r="A66" s="1">
        <v>65</v>
      </c>
      <c r="B66" s="6"/>
      <c r="C66" s="7"/>
      <c r="D66" s="8"/>
      <c r="E66" s="8"/>
      <c r="F66" s="8"/>
      <c r="G66" s="6"/>
      <c r="H66" s="10"/>
      <c r="I66" s="10"/>
      <c r="J66" s="8"/>
      <c r="K66" s="6"/>
      <c r="L66" s="6"/>
    </row>
    <row r="67" spans="1:12" x14ac:dyDescent="0.2">
      <c r="A67" s="1">
        <v>66</v>
      </c>
      <c r="B67" s="6">
        <v>19</v>
      </c>
      <c r="C67" s="7" t="s">
        <v>183</v>
      </c>
      <c r="D67" s="8" t="s">
        <v>184</v>
      </c>
      <c r="E67" s="8" t="s">
        <v>185</v>
      </c>
      <c r="F67" s="8" t="s">
        <v>185</v>
      </c>
      <c r="G67" s="9" t="str">
        <f>HYPERLINK("http://catalog.pemnet.com/item/uts-and-spacers-standoffs-surface-mount-type-smtso/spacers-standoffs---type-smtsob---unified/smtsob-116-12et","Link")</f>
        <v>Link</v>
      </c>
      <c r="H67" s="10"/>
      <c r="I67" s="10"/>
      <c r="J67" s="8" t="s">
        <v>186</v>
      </c>
      <c r="K67" s="6" t="s">
        <v>17</v>
      </c>
      <c r="L67" s="6"/>
    </row>
    <row r="68" spans="1:12" x14ac:dyDescent="0.2">
      <c r="A68" s="1">
        <v>67</v>
      </c>
      <c r="B68" s="6">
        <v>10</v>
      </c>
      <c r="C68" s="7" t="s">
        <v>187</v>
      </c>
      <c r="D68" s="8" t="s">
        <v>188</v>
      </c>
      <c r="E68" s="8" t="s">
        <v>185</v>
      </c>
      <c r="F68" s="8" t="s">
        <v>185</v>
      </c>
      <c r="G68" s="9" t="str">
        <f>HYPERLINK("http://catalog.pemnet.com/item/uts-and-spacers-standoffs-surface-mount-type-smtso/spacers-standoffs---type-smtsob---unified/smtsob-440-12et","Link")</f>
        <v>Link</v>
      </c>
      <c r="H68" s="10"/>
      <c r="I68" s="10"/>
      <c r="J68" s="8" t="s">
        <v>189</v>
      </c>
      <c r="K68" s="6" t="s">
        <v>17</v>
      </c>
      <c r="L68" s="6" t="s">
        <v>17</v>
      </c>
    </row>
    <row r="69" spans="1:12" x14ac:dyDescent="0.2">
      <c r="A69" s="1">
        <v>68</v>
      </c>
      <c r="B69" s="6"/>
      <c r="C69" s="7"/>
      <c r="G69" s="6"/>
      <c r="H69" s="10"/>
      <c r="I69" s="10"/>
      <c r="K69" s="6"/>
      <c r="L69" s="6"/>
    </row>
    <row r="70" spans="1:12" x14ac:dyDescent="0.2">
      <c r="A70" s="1">
        <v>69</v>
      </c>
      <c r="B70" s="11">
        <v>1</v>
      </c>
      <c r="C70" s="12" t="s">
        <v>190</v>
      </c>
      <c r="D70" s="13" t="s">
        <v>191</v>
      </c>
      <c r="E70" s="13" t="s">
        <v>192</v>
      </c>
      <c r="F70" s="13" t="s">
        <v>192</v>
      </c>
      <c r="G70" s="9" t="str">
        <f>HYPERLINK("http://www.mcmaster.com/#91737a069/=143emwn","Link")</f>
        <v>Link</v>
      </c>
      <c r="H70" s="10">
        <v>4.22</v>
      </c>
      <c r="I70" s="10">
        <f t="shared" ref="I70:I71" si="10">H70*B70</f>
        <v>4.22</v>
      </c>
      <c r="J70" s="13" t="s">
        <v>193</v>
      </c>
      <c r="K70" s="6"/>
      <c r="L70" s="6" t="s">
        <v>17</v>
      </c>
    </row>
    <row r="71" spans="1:12" x14ac:dyDescent="0.2">
      <c r="A71" s="1">
        <v>70</v>
      </c>
      <c r="B71" s="11">
        <v>1</v>
      </c>
      <c r="C71" s="12" t="s">
        <v>194</v>
      </c>
      <c r="D71" s="13" t="s">
        <v>195</v>
      </c>
      <c r="E71" s="13" t="s">
        <v>192</v>
      </c>
      <c r="F71" s="13" t="s">
        <v>192</v>
      </c>
      <c r="G71" s="9" t="str">
        <f>HYPERLINK("https://www.mcmaster.com/#91772a113/=19kgcxo","Link")</f>
        <v>Link</v>
      </c>
      <c r="H71" s="10">
        <v>4.95</v>
      </c>
      <c r="I71" s="10">
        <f t="shared" si="10"/>
        <v>4.95</v>
      </c>
      <c r="J71" s="13" t="s">
        <v>196</v>
      </c>
      <c r="K71" s="6"/>
      <c r="L71" s="6" t="s">
        <v>17</v>
      </c>
    </row>
    <row r="72" spans="1:12" x14ac:dyDescent="0.2">
      <c r="A72" s="1">
        <v>71</v>
      </c>
      <c r="B72" s="11"/>
      <c r="C72" s="12"/>
      <c r="D72" s="13"/>
      <c r="E72" s="13"/>
      <c r="F72" s="13"/>
      <c r="H72" s="10"/>
      <c r="I72" s="10"/>
      <c r="J72" s="13"/>
      <c r="K72" s="6"/>
      <c r="L72" s="6"/>
    </row>
    <row r="73" spans="1:12" x14ac:dyDescent="0.2">
      <c r="A73" s="1">
        <v>72</v>
      </c>
      <c r="B73" s="11">
        <v>1</v>
      </c>
      <c r="C73" s="12" t="s">
        <v>197</v>
      </c>
      <c r="D73" s="13" t="s">
        <v>198</v>
      </c>
      <c r="E73" s="13" t="s">
        <v>199</v>
      </c>
      <c r="F73" s="13" t="s">
        <v>199</v>
      </c>
      <c r="G73" s="13"/>
      <c r="H73" s="10">
        <v>94.75</v>
      </c>
      <c r="I73" s="10">
        <f t="shared" ref="I73:I74" si="11">H73*B73</f>
        <v>94.75</v>
      </c>
      <c r="J73" s="13" t="s">
        <v>200</v>
      </c>
      <c r="K73" s="6"/>
      <c r="L73" s="6" t="s">
        <v>17</v>
      </c>
    </row>
    <row r="74" spans="1:12" x14ac:dyDescent="0.2">
      <c r="A74" s="1">
        <v>73</v>
      </c>
      <c r="B74" s="11">
        <v>1</v>
      </c>
      <c r="C74" s="12" t="s">
        <v>201</v>
      </c>
      <c r="D74" s="13" t="s">
        <v>202</v>
      </c>
      <c r="E74" s="13" t="s">
        <v>192</v>
      </c>
      <c r="F74" s="13" t="s">
        <v>192</v>
      </c>
      <c r="G74" s="9" t="str">
        <f>HYPERLINK("http://www.mcmaster.com/#91772a110/=143enhs","Link")</f>
        <v>Link</v>
      </c>
      <c r="H74" s="10">
        <v>7.54</v>
      </c>
      <c r="I74" s="10">
        <f t="shared" si="11"/>
        <v>7.54</v>
      </c>
      <c r="J74" s="13" t="s">
        <v>203</v>
      </c>
      <c r="K74" s="6"/>
      <c r="L74" s="6" t="s">
        <v>17</v>
      </c>
    </row>
    <row r="75" spans="1:12" x14ac:dyDescent="0.2">
      <c r="A75" s="1">
        <v>74</v>
      </c>
      <c r="B75" s="11"/>
      <c r="C75" s="12"/>
      <c r="D75" s="13"/>
      <c r="E75" s="13"/>
      <c r="F75" s="13"/>
      <c r="H75" s="10"/>
      <c r="I75" s="10"/>
      <c r="J75" s="13"/>
      <c r="K75" s="6"/>
      <c r="L75" s="6"/>
    </row>
    <row r="76" spans="1:12" x14ac:dyDescent="0.2">
      <c r="A76" s="1">
        <v>75</v>
      </c>
      <c r="B76" s="11"/>
      <c r="C76" s="12"/>
      <c r="D76" s="13"/>
      <c r="E76" s="13"/>
      <c r="F76" s="13"/>
      <c r="H76" s="10"/>
      <c r="I76" s="10"/>
      <c r="J76" s="13"/>
      <c r="K76" s="6"/>
      <c r="L76" s="6"/>
    </row>
    <row r="77" spans="1:12" x14ac:dyDescent="0.2">
      <c r="L77" s="6"/>
    </row>
    <row r="78" spans="1:12" x14ac:dyDescent="0.2">
      <c r="L78" s="6"/>
    </row>
    <row r="79" spans="1:12" x14ac:dyDescent="0.2">
      <c r="L79" s="6"/>
    </row>
    <row r="80" spans="1:12" x14ac:dyDescent="0.2">
      <c r="L80" s="6"/>
    </row>
    <row r="81" spans="12:12" x14ac:dyDescent="0.2">
      <c r="L81" s="6"/>
    </row>
    <row r="82" spans="12:12" x14ac:dyDescent="0.2">
      <c r="L82" s="6"/>
    </row>
    <row r="83" spans="12:12" x14ac:dyDescent="0.2">
      <c r="L83" s="6"/>
    </row>
    <row r="84" spans="12:12" x14ac:dyDescent="0.2">
      <c r="L84" s="6"/>
    </row>
    <row r="85" spans="12:12" x14ac:dyDescent="0.2">
      <c r="L85" s="6"/>
    </row>
    <row r="86" spans="12:12" x14ac:dyDescent="0.2">
      <c r="L86" s="6"/>
    </row>
    <row r="87" spans="12:12" x14ac:dyDescent="0.2">
      <c r="L87" s="6"/>
    </row>
    <row r="88" spans="12:12" x14ac:dyDescent="0.2">
      <c r="L88" s="6"/>
    </row>
    <row r="89" spans="12:12" x14ac:dyDescent="0.2">
      <c r="L89" s="6"/>
    </row>
    <row r="90" spans="12:12" x14ac:dyDescent="0.2">
      <c r="L90" s="6"/>
    </row>
    <row r="91" spans="12:12" x14ac:dyDescent="0.2">
      <c r="L91" s="6"/>
    </row>
    <row r="92" spans="12:12" x14ac:dyDescent="0.2">
      <c r="L92" s="6"/>
    </row>
    <row r="93" spans="12:12" x14ac:dyDescent="0.2">
      <c r="L93" s="6"/>
    </row>
    <row r="94" spans="12:12" x14ac:dyDescent="0.2">
      <c r="L94" s="6"/>
    </row>
    <row r="95" spans="12:12" x14ac:dyDescent="0.2">
      <c r="L95" s="6"/>
    </row>
    <row r="96" spans="12:12" x14ac:dyDescent="0.2">
      <c r="L96" s="6"/>
    </row>
    <row r="97" spans="12:12" x14ac:dyDescent="0.2">
      <c r="L97" s="6"/>
    </row>
    <row r="98" spans="12:12" x14ac:dyDescent="0.2">
      <c r="L98" s="6"/>
    </row>
    <row r="99" spans="12:12" x14ac:dyDescent="0.2">
      <c r="L99" s="6"/>
    </row>
    <row r="100" spans="12:12" x14ac:dyDescent="0.2">
      <c r="L100" s="6"/>
    </row>
    <row r="101" spans="12:12" x14ac:dyDescent="0.2">
      <c r="L101" s="6"/>
    </row>
    <row r="102" spans="12:12" x14ac:dyDescent="0.2">
      <c r="L102" s="6"/>
    </row>
    <row r="103" spans="12:12" x14ac:dyDescent="0.2">
      <c r="L103" s="6"/>
    </row>
    <row r="104" spans="12:12" x14ac:dyDescent="0.2">
      <c r="L104" s="6"/>
    </row>
    <row r="105" spans="12:12" x14ac:dyDescent="0.2">
      <c r="L105" s="6"/>
    </row>
    <row r="106" spans="12:12" x14ac:dyDescent="0.2">
      <c r="L106" s="6"/>
    </row>
    <row r="107" spans="12:12" x14ac:dyDescent="0.2">
      <c r="L107" s="6"/>
    </row>
    <row r="108" spans="12:12" x14ac:dyDescent="0.2">
      <c r="L108" s="6"/>
    </row>
    <row r="109" spans="12:12" x14ac:dyDescent="0.2">
      <c r="L109" s="6"/>
    </row>
    <row r="110" spans="12:12" x14ac:dyDescent="0.2">
      <c r="L110" s="6"/>
    </row>
    <row r="111" spans="12:12" x14ac:dyDescent="0.2">
      <c r="L111" s="6"/>
    </row>
    <row r="112" spans="12:12" x14ac:dyDescent="0.2">
      <c r="L112" s="6"/>
    </row>
    <row r="113" spans="12:12" x14ac:dyDescent="0.2">
      <c r="L113" s="6"/>
    </row>
    <row r="114" spans="12:12" x14ac:dyDescent="0.2">
      <c r="L114" s="6"/>
    </row>
    <row r="115" spans="12:12" x14ac:dyDescent="0.2">
      <c r="L115" s="6"/>
    </row>
    <row r="116" spans="12:12" x14ac:dyDescent="0.2">
      <c r="L116" s="6"/>
    </row>
    <row r="117" spans="12:12" x14ac:dyDescent="0.2">
      <c r="L117" s="6"/>
    </row>
    <row r="118" spans="12:12" x14ac:dyDescent="0.2">
      <c r="L118" s="6"/>
    </row>
    <row r="119" spans="12:12" x14ac:dyDescent="0.2">
      <c r="L119" s="6"/>
    </row>
    <row r="120" spans="12:12" x14ac:dyDescent="0.2">
      <c r="L120" s="6"/>
    </row>
    <row r="121" spans="12:12" x14ac:dyDescent="0.2">
      <c r="L121" s="6"/>
    </row>
    <row r="122" spans="12:12" x14ac:dyDescent="0.2">
      <c r="L122" s="6"/>
    </row>
    <row r="123" spans="12:12" x14ac:dyDescent="0.2">
      <c r="L123" s="6"/>
    </row>
    <row r="124" spans="12:12" x14ac:dyDescent="0.2">
      <c r="L124" s="6"/>
    </row>
    <row r="125" spans="12:12" x14ac:dyDescent="0.2">
      <c r="L125" s="6"/>
    </row>
    <row r="126" spans="12:12" x14ac:dyDescent="0.2">
      <c r="L126" s="6"/>
    </row>
    <row r="127" spans="12:12" x14ac:dyDescent="0.2">
      <c r="L127" s="6"/>
    </row>
    <row r="128" spans="12:12" x14ac:dyDescent="0.2">
      <c r="L128" s="6"/>
    </row>
    <row r="129" spans="12:12" x14ac:dyDescent="0.2">
      <c r="L129" s="6"/>
    </row>
    <row r="130" spans="12:12" x14ac:dyDescent="0.2">
      <c r="L130" s="6"/>
    </row>
    <row r="131" spans="12:12" x14ac:dyDescent="0.2">
      <c r="L131" s="6"/>
    </row>
    <row r="132" spans="12:12" x14ac:dyDescent="0.2">
      <c r="L132" s="6"/>
    </row>
    <row r="133" spans="12:12" x14ac:dyDescent="0.2">
      <c r="L133" s="6"/>
    </row>
    <row r="134" spans="12:12" x14ac:dyDescent="0.2">
      <c r="L134" s="6"/>
    </row>
    <row r="135" spans="12:12" x14ac:dyDescent="0.2">
      <c r="L135" s="6"/>
    </row>
    <row r="136" spans="12:12" x14ac:dyDescent="0.2">
      <c r="L136" s="6"/>
    </row>
    <row r="137" spans="12:12" x14ac:dyDescent="0.2">
      <c r="L137" s="6"/>
    </row>
    <row r="138" spans="12:12" x14ac:dyDescent="0.2">
      <c r="L138" s="6"/>
    </row>
    <row r="139" spans="12:12" x14ac:dyDescent="0.2">
      <c r="L139" s="6"/>
    </row>
    <row r="140" spans="12:12" x14ac:dyDescent="0.2">
      <c r="L140" s="6"/>
    </row>
    <row r="141" spans="12:12" x14ac:dyDescent="0.2">
      <c r="L141" s="6"/>
    </row>
    <row r="142" spans="12:12" x14ac:dyDescent="0.2">
      <c r="L142" s="6"/>
    </row>
    <row r="143" spans="12:12" x14ac:dyDescent="0.2">
      <c r="L143" s="6"/>
    </row>
    <row r="144" spans="12:12" x14ac:dyDescent="0.2">
      <c r="L144" s="6"/>
    </row>
    <row r="145" spans="12:12" x14ac:dyDescent="0.2">
      <c r="L145" s="6"/>
    </row>
    <row r="146" spans="12:12" x14ac:dyDescent="0.2">
      <c r="L146" s="6"/>
    </row>
    <row r="147" spans="12:12" x14ac:dyDescent="0.2">
      <c r="L147" s="6"/>
    </row>
    <row r="148" spans="12:12" x14ac:dyDescent="0.2">
      <c r="L148" s="6"/>
    </row>
    <row r="149" spans="12:12" x14ac:dyDescent="0.2">
      <c r="L149" s="6"/>
    </row>
    <row r="150" spans="12:12" x14ac:dyDescent="0.2">
      <c r="L150" s="6"/>
    </row>
    <row r="151" spans="12:12" x14ac:dyDescent="0.2">
      <c r="L151" s="6"/>
    </row>
    <row r="152" spans="12:12" x14ac:dyDescent="0.2">
      <c r="L152" s="6"/>
    </row>
    <row r="153" spans="12:12" x14ac:dyDescent="0.2">
      <c r="L153" s="6"/>
    </row>
    <row r="154" spans="12:12" x14ac:dyDescent="0.2">
      <c r="L154" s="6"/>
    </row>
    <row r="155" spans="12:12" x14ac:dyDescent="0.2">
      <c r="L155" s="6"/>
    </row>
    <row r="156" spans="12:12" x14ac:dyDescent="0.2">
      <c r="L156" s="6"/>
    </row>
    <row r="157" spans="12:12" x14ac:dyDescent="0.2">
      <c r="L157" s="6"/>
    </row>
    <row r="158" spans="12:12" x14ac:dyDescent="0.2">
      <c r="L158" s="6"/>
    </row>
    <row r="159" spans="12:12" x14ac:dyDescent="0.2">
      <c r="L159" s="6"/>
    </row>
    <row r="160" spans="12:12" x14ac:dyDescent="0.2">
      <c r="L160" s="6"/>
    </row>
    <row r="161" spans="12:12" x14ac:dyDescent="0.2">
      <c r="L161" s="6"/>
    </row>
    <row r="162" spans="12:12" x14ac:dyDescent="0.2">
      <c r="L162" s="6"/>
    </row>
    <row r="163" spans="12:12" x14ac:dyDescent="0.2">
      <c r="L163" s="6"/>
    </row>
    <row r="164" spans="12:12" x14ac:dyDescent="0.2">
      <c r="L164" s="6"/>
    </row>
    <row r="165" spans="12:12" x14ac:dyDescent="0.2">
      <c r="L165" s="6"/>
    </row>
    <row r="166" spans="12:12" x14ac:dyDescent="0.2">
      <c r="L166" s="6"/>
    </row>
    <row r="167" spans="12:12" x14ac:dyDescent="0.2">
      <c r="L167" s="6"/>
    </row>
    <row r="168" spans="12:12" x14ac:dyDescent="0.2">
      <c r="L168" s="6"/>
    </row>
    <row r="169" spans="12:12" x14ac:dyDescent="0.2">
      <c r="L169" s="6"/>
    </row>
    <row r="170" spans="12:12" x14ac:dyDescent="0.2">
      <c r="L170" s="6"/>
    </row>
    <row r="171" spans="12:12" x14ac:dyDescent="0.2">
      <c r="L171" s="6"/>
    </row>
    <row r="172" spans="12:12" x14ac:dyDescent="0.2">
      <c r="L172" s="6"/>
    </row>
    <row r="173" spans="12:12" x14ac:dyDescent="0.2">
      <c r="L173" s="6"/>
    </row>
    <row r="174" spans="12:12" x14ac:dyDescent="0.2">
      <c r="L174" s="6"/>
    </row>
    <row r="175" spans="12:12" x14ac:dyDescent="0.2">
      <c r="L175" s="6"/>
    </row>
    <row r="176" spans="12:12" x14ac:dyDescent="0.2">
      <c r="L176" s="6"/>
    </row>
    <row r="177" spans="12:12" x14ac:dyDescent="0.2">
      <c r="L177" s="6"/>
    </row>
    <row r="178" spans="12:12" x14ac:dyDescent="0.2">
      <c r="L178" s="6"/>
    </row>
    <row r="179" spans="12:12" x14ac:dyDescent="0.2">
      <c r="L179" s="6"/>
    </row>
    <row r="180" spans="12:12" x14ac:dyDescent="0.2">
      <c r="L180" s="6"/>
    </row>
    <row r="181" spans="12:12" x14ac:dyDescent="0.2">
      <c r="L181" s="6"/>
    </row>
    <row r="182" spans="12:12" x14ac:dyDescent="0.2">
      <c r="L182" s="6"/>
    </row>
    <row r="183" spans="12:12" x14ac:dyDescent="0.2">
      <c r="L183" s="6"/>
    </row>
    <row r="184" spans="12:12" x14ac:dyDescent="0.2">
      <c r="L184" s="6"/>
    </row>
    <row r="185" spans="12:12" x14ac:dyDescent="0.2">
      <c r="L185" s="6"/>
    </row>
    <row r="186" spans="12:12" x14ac:dyDescent="0.2">
      <c r="L186" s="6"/>
    </row>
    <row r="187" spans="12:12" x14ac:dyDescent="0.2">
      <c r="L187" s="6"/>
    </row>
    <row r="188" spans="12:12" x14ac:dyDescent="0.2">
      <c r="L188" s="6"/>
    </row>
    <row r="189" spans="12:12" x14ac:dyDescent="0.2">
      <c r="L189" s="6"/>
    </row>
    <row r="190" spans="12:12" x14ac:dyDescent="0.2">
      <c r="L190" s="6"/>
    </row>
    <row r="191" spans="12:12" x14ac:dyDescent="0.2">
      <c r="L191" s="6"/>
    </row>
    <row r="192" spans="12:12" x14ac:dyDescent="0.2">
      <c r="L192" s="6"/>
    </row>
    <row r="193" spans="12:12" x14ac:dyDescent="0.2">
      <c r="L193" s="6"/>
    </row>
    <row r="194" spans="12:12" x14ac:dyDescent="0.2">
      <c r="L194" s="6"/>
    </row>
    <row r="195" spans="12:12" x14ac:dyDescent="0.2">
      <c r="L195" s="6"/>
    </row>
    <row r="196" spans="12:12" x14ac:dyDescent="0.2">
      <c r="L196" s="6"/>
    </row>
    <row r="197" spans="12:12" x14ac:dyDescent="0.2">
      <c r="L197" s="6"/>
    </row>
    <row r="198" spans="12:12" x14ac:dyDescent="0.2">
      <c r="L198" s="6"/>
    </row>
    <row r="199" spans="12:12" x14ac:dyDescent="0.2">
      <c r="L199" s="6"/>
    </row>
    <row r="200" spans="12:12" x14ac:dyDescent="0.2">
      <c r="L200" s="6"/>
    </row>
    <row r="201" spans="12:12" x14ac:dyDescent="0.2">
      <c r="L201" s="6"/>
    </row>
    <row r="202" spans="12:12" x14ac:dyDescent="0.2">
      <c r="L202" s="6"/>
    </row>
    <row r="203" spans="12:12" x14ac:dyDescent="0.2">
      <c r="L203" s="6"/>
    </row>
    <row r="204" spans="12:12" x14ac:dyDescent="0.2">
      <c r="L204" s="6"/>
    </row>
    <row r="205" spans="12:12" x14ac:dyDescent="0.2">
      <c r="L205" s="6"/>
    </row>
    <row r="206" spans="12:12" x14ac:dyDescent="0.2">
      <c r="L206" s="6"/>
    </row>
    <row r="207" spans="12:12" x14ac:dyDescent="0.2">
      <c r="L207" s="6"/>
    </row>
    <row r="208" spans="12:12" x14ac:dyDescent="0.2">
      <c r="L208" s="6"/>
    </row>
    <row r="209" spans="12:12" x14ac:dyDescent="0.2">
      <c r="L209" s="6"/>
    </row>
    <row r="210" spans="12:12" x14ac:dyDescent="0.2">
      <c r="L210" s="6"/>
    </row>
    <row r="211" spans="12:12" x14ac:dyDescent="0.2">
      <c r="L211" s="6"/>
    </row>
    <row r="212" spans="12:12" x14ac:dyDescent="0.2">
      <c r="L212" s="6"/>
    </row>
    <row r="213" spans="12:12" x14ac:dyDescent="0.2">
      <c r="L213" s="6"/>
    </row>
    <row r="214" spans="12:12" x14ac:dyDescent="0.2">
      <c r="L214" s="6"/>
    </row>
    <row r="215" spans="12:12" x14ac:dyDescent="0.2">
      <c r="L215" s="6"/>
    </row>
    <row r="216" spans="12:12" x14ac:dyDescent="0.2">
      <c r="L216" s="6"/>
    </row>
    <row r="217" spans="12:12" x14ac:dyDescent="0.2">
      <c r="L217" s="6"/>
    </row>
    <row r="218" spans="12:12" x14ac:dyDescent="0.2">
      <c r="L218" s="6"/>
    </row>
    <row r="219" spans="12:12" x14ac:dyDescent="0.2">
      <c r="L219" s="6"/>
    </row>
    <row r="220" spans="12:12" x14ac:dyDescent="0.2">
      <c r="L220" s="6"/>
    </row>
    <row r="221" spans="12:12" x14ac:dyDescent="0.2">
      <c r="L221" s="6"/>
    </row>
    <row r="222" spans="12:12" x14ac:dyDescent="0.2">
      <c r="L222" s="6"/>
    </row>
    <row r="223" spans="12:12" x14ac:dyDescent="0.2">
      <c r="L223" s="6"/>
    </row>
    <row r="224" spans="12:12" x14ac:dyDescent="0.2">
      <c r="L224" s="6"/>
    </row>
    <row r="225" spans="12:12" x14ac:dyDescent="0.2">
      <c r="L225" s="6"/>
    </row>
    <row r="226" spans="12:12" x14ac:dyDescent="0.2">
      <c r="L226" s="6"/>
    </row>
    <row r="227" spans="12:12" x14ac:dyDescent="0.2">
      <c r="L227" s="6"/>
    </row>
    <row r="228" spans="12:12" x14ac:dyDescent="0.2">
      <c r="L228" s="6"/>
    </row>
    <row r="229" spans="12:12" x14ac:dyDescent="0.2">
      <c r="L229" s="6"/>
    </row>
    <row r="230" spans="12:12" x14ac:dyDescent="0.2">
      <c r="L230" s="6"/>
    </row>
    <row r="231" spans="12:12" x14ac:dyDescent="0.2">
      <c r="L231" s="6"/>
    </row>
    <row r="232" spans="12:12" x14ac:dyDescent="0.2">
      <c r="L232" s="6"/>
    </row>
    <row r="233" spans="12:12" x14ac:dyDescent="0.2">
      <c r="L233" s="6"/>
    </row>
    <row r="234" spans="12:12" x14ac:dyDescent="0.2">
      <c r="L234" s="6"/>
    </row>
    <row r="235" spans="12:12" x14ac:dyDescent="0.2">
      <c r="L235" s="6"/>
    </row>
    <row r="236" spans="12:12" x14ac:dyDescent="0.2">
      <c r="L236" s="6"/>
    </row>
    <row r="237" spans="12:12" x14ac:dyDescent="0.2">
      <c r="L237" s="6"/>
    </row>
    <row r="238" spans="12:12" x14ac:dyDescent="0.2">
      <c r="L238" s="6"/>
    </row>
    <row r="239" spans="12:12" x14ac:dyDescent="0.2">
      <c r="L239" s="6"/>
    </row>
    <row r="240" spans="12:12" x14ac:dyDescent="0.2">
      <c r="L240" s="6"/>
    </row>
    <row r="241" spans="12:12" x14ac:dyDescent="0.2">
      <c r="L241" s="6"/>
    </row>
    <row r="242" spans="12:12" x14ac:dyDescent="0.2">
      <c r="L242" s="6"/>
    </row>
    <row r="243" spans="12:12" x14ac:dyDescent="0.2">
      <c r="L243" s="6"/>
    </row>
    <row r="244" spans="12:12" x14ac:dyDescent="0.2">
      <c r="L244" s="6"/>
    </row>
    <row r="245" spans="12:12" x14ac:dyDescent="0.2">
      <c r="L245" s="6"/>
    </row>
    <row r="246" spans="12:12" x14ac:dyDescent="0.2">
      <c r="L246" s="6"/>
    </row>
    <row r="247" spans="12:12" x14ac:dyDescent="0.2">
      <c r="L247" s="6"/>
    </row>
    <row r="248" spans="12:12" x14ac:dyDescent="0.2">
      <c r="L248" s="6"/>
    </row>
    <row r="249" spans="12:12" x14ac:dyDescent="0.2">
      <c r="L249" s="6"/>
    </row>
    <row r="250" spans="12:12" x14ac:dyDescent="0.2">
      <c r="L250" s="6"/>
    </row>
    <row r="251" spans="12:12" x14ac:dyDescent="0.2">
      <c r="L251" s="6"/>
    </row>
    <row r="252" spans="12:12" x14ac:dyDescent="0.2">
      <c r="L252" s="6"/>
    </row>
    <row r="253" spans="12:12" x14ac:dyDescent="0.2">
      <c r="L253" s="6"/>
    </row>
    <row r="254" spans="12:12" x14ac:dyDescent="0.2">
      <c r="L254" s="6"/>
    </row>
    <row r="255" spans="12:12" x14ac:dyDescent="0.2">
      <c r="L255" s="6"/>
    </row>
    <row r="256" spans="12:12" x14ac:dyDescent="0.2">
      <c r="L256" s="6"/>
    </row>
    <row r="257" spans="12:12" x14ac:dyDescent="0.2">
      <c r="L257" s="6"/>
    </row>
    <row r="258" spans="12:12" x14ac:dyDescent="0.2">
      <c r="L258" s="6"/>
    </row>
    <row r="259" spans="12:12" x14ac:dyDescent="0.2">
      <c r="L259" s="6"/>
    </row>
    <row r="260" spans="12:12" x14ac:dyDescent="0.2">
      <c r="L260" s="6"/>
    </row>
    <row r="261" spans="12:12" x14ac:dyDescent="0.2">
      <c r="L261" s="6"/>
    </row>
    <row r="262" spans="12:12" x14ac:dyDescent="0.2">
      <c r="L262" s="6"/>
    </row>
    <row r="263" spans="12:12" x14ac:dyDescent="0.2">
      <c r="L263" s="6"/>
    </row>
    <row r="264" spans="12:12" x14ac:dyDescent="0.2">
      <c r="L264" s="6"/>
    </row>
    <row r="265" spans="12:12" x14ac:dyDescent="0.2">
      <c r="L265" s="6"/>
    </row>
    <row r="266" spans="12:12" x14ac:dyDescent="0.2">
      <c r="L266" s="6"/>
    </row>
    <row r="267" spans="12:12" x14ac:dyDescent="0.2">
      <c r="L267" s="6"/>
    </row>
    <row r="268" spans="12:12" x14ac:dyDescent="0.2">
      <c r="L268" s="6"/>
    </row>
    <row r="269" spans="12:12" x14ac:dyDescent="0.2">
      <c r="L269" s="6"/>
    </row>
    <row r="270" spans="12:12" x14ac:dyDescent="0.2">
      <c r="L270" s="6"/>
    </row>
    <row r="271" spans="12:12" x14ac:dyDescent="0.2">
      <c r="L271" s="6"/>
    </row>
    <row r="272" spans="12:12" x14ac:dyDescent="0.2">
      <c r="L272" s="6"/>
    </row>
    <row r="273" spans="12:12" x14ac:dyDescent="0.2">
      <c r="L273" s="6"/>
    </row>
    <row r="274" spans="12:12" x14ac:dyDescent="0.2">
      <c r="L274" s="6"/>
    </row>
    <row r="275" spans="12:12" x14ac:dyDescent="0.2">
      <c r="L275" s="6"/>
    </row>
    <row r="276" spans="12:12" x14ac:dyDescent="0.2">
      <c r="L276" s="6"/>
    </row>
    <row r="277" spans="12:12" x14ac:dyDescent="0.2">
      <c r="L277" s="6"/>
    </row>
    <row r="278" spans="12:12" x14ac:dyDescent="0.2">
      <c r="L278" s="6"/>
    </row>
    <row r="279" spans="12:12" x14ac:dyDescent="0.2">
      <c r="L279" s="6"/>
    </row>
    <row r="280" spans="12:12" x14ac:dyDescent="0.2">
      <c r="L280" s="6"/>
    </row>
    <row r="281" spans="12:12" x14ac:dyDescent="0.2">
      <c r="L281" s="6"/>
    </row>
    <row r="282" spans="12:12" x14ac:dyDescent="0.2">
      <c r="L282" s="6"/>
    </row>
    <row r="283" spans="12:12" x14ac:dyDescent="0.2">
      <c r="L283" s="6"/>
    </row>
    <row r="284" spans="12:12" x14ac:dyDescent="0.2">
      <c r="L284" s="6"/>
    </row>
    <row r="285" spans="12:12" x14ac:dyDescent="0.2">
      <c r="L285" s="6"/>
    </row>
    <row r="286" spans="12:12" x14ac:dyDescent="0.2">
      <c r="L286" s="6"/>
    </row>
    <row r="287" spans="12:12" x14ac:dyDescent="0.2">
      <c r="L287" s="6"/>
    </row>
    <row r="288" spans="12:12" x14ac:dyDescent="0.2">
      <c r="L288" s="6"/>
    </row>
    <row r="289" spans="12:12" x14ac:dyDescent="0.2">
      <c r="L289" s="6"/>
    </row>
    <row r="290" spans="12:12" x14ac:dyDescent="0.2">
      <c r="L290" s="6"/>
    </row>
    <row r="291" spans="12:12" x14ac:dyDescent="0.2">
      <c r="L291" s="6"/>
    </row>
    <row r="292" spans="12:12" x14ac:dyDescent="0.2">
      <c r="L292" s="6"/>
    </row>
    <row r="293" spans="12:12" x14ac:dyDescent="0.2">
      <c r="L293" s="6"/>
    </row>
    <row r="294" spans="12:12" x14ac:dyDescent="0.2">
      <c r="L294" s="6"/>
    </row>
    <row r="295" spans="12:12" x14ac:dyDescent="0.2">
      <c r="L295" s="6"/>
    </row>
    <row r="296" spans="12:12" x14ac:dyDescent="0.2">
      <c r="L296" s="6"/>
    </row>
    <row r="297" spans="12:12" x14ac:dyDescent="0.2">
      <c r="L297" s="6"/>
    </row>
    <row r="298" spans="12:12" x14ac:dyDescent="0.2">
      <c r="L298" s="6"/>
    </row>
    <row r="299" spans="12:12" x14ac:dyDescent="0.2">
      <c r="L299" s="6"/>
    </row>
    <row r="300" spans="12:12" x14ac:dyDescent="0.2">
      <c r="L300" s="6"/>
    </row>
    <row r="301" spans="12:12" x14ac:dyDescent="0.2">
      <c r="L301" s="6"/>
    </row>
    <row r="302" spans="12:12" x14ac:dyDescent="0.2">
      <c r="L302" s="6"/>
    </row>
    <row r="303" spans="12:12" x14ac:dyDescent="0.2">
      <c r="L303" s="6"/>
    </row>
    <row r="304" spans="12:12" x14ac:dyDescent="0.2">
      <c r="L304" s="6"/>
    </row>
    <row r="305" spans="12:12" x14ac:dyDescent="0.2">
      <c r="L305" s="6"/>
    </row>
    <row r="306" spans="12:12" x14ac:dyDescent="0.2">
      <c r="L306" s="6"/>
    </row>
    <row r="307" spans="12:12" x14ac:dyDescent="0.2">
      <c r="L307" s="6"/>
    </row>
    <row r="308" spans="12:12" x14ac:dyDescent="0.2">
      <c r="L308" s="6"/>
    </row>
    <row r="309" spans="12:12" x14ac:dyDescent="0.2">
      <c r="L309" s="6"/>
    </row>
    <row r="310" spans="12:12" x14ac:dyDescent="0.2">
      <c r="L310" s="6"/>
    </row>
    <row r="311" spans="12:12" x14ac:dyDescent="0.2">
      <c r="L311" s="6"/>
    </row>
    <row r="312" spans="12:12" x14ac:dyDescent="0.2">
      <c r="L312" s="6"/>
    </row>
    <row r="313" spans="12:12" x14ac:dyDescent="0.2">
      <c r="L313" s="6"/>
    </row>
    <row r="314" spans="12:12" x14ac:dyDescent="0.2">
      <c r="L314" s="6"/>
    </row>
    <row r="315" spans="12:12" x14ac:dyDescent="0.2">
      <c r="L315" s="6"/>
    </row>
    <row r="316" spans="12:12" x14ac:dyDescent="0.2">
      <c r="L316" s="6"/>
    </row>
    <row r="317" spans="12:12" x14ac:dyDescent="0.2">
      <c r="L317" s="6"/>
    </row>
    <row r="318" spans="12:12" x14ac:dyDescent="0.2">
      <c r="L318" s="6"/>
    </row>
    <row r="319" spans="12:12" x14ac:dyDescent="0.2">
      <c r="L319" s="6"/>
    </row>
    <row r="320" spans="12:12" x14ac:dyDescent="0.2">
      <c r="L320" s="6"/>
    </row>
    <row r="321" spans="12:12" x14ac:dyDescent="0.2">
      <c r="L321" s="6"/>
    </row>
    <row r="322" spans="12:12" x14ac:dyDescent="0.2">
      <c r="L322" s="6"/>
    </row>
    <row r="323" spans="12:12" x14ac:dyDescent="0.2">
      <c r="L323" s="6"/>
    </row>
    <row r="324" spans="12:12" x14ac:dyDescent="0.2">
      <c r="L324" s="6"/>
    </row>
    <row r="325" spans="12:12" x14ac:dyDescent="0.2">
      <c r="L325" s="6"/>
    </row>
    <row r="326" spans="12:12" x14ac:dyDescent="0.2">
      <c r="L326" s="6"/>
    </row>
    <row r="327" spans="12:12" x14ac:dyDescent="0.2">
      <c r="L327" s="6"/>
    </row>
    <row r="328" spans="12:12" x14ac:dyDescent="0.2">
      <c r="L328" s="6"/>
    </row>
    <row r="329" spans="12:12" x14ac:dyDescent="0.2">
      <c r="L329" s="6"/>
    </row>
    <row r="330" spans="12:12" x14ac:dyDescent="0.2">
      <c r="L330" s="6"/>
    </row>
    <row r="331" spans="12:12" x14ac:dyDescent="0.2">
      <c r="L331" s="6"/>
    </row>
    <row r="332" spans="12:12" x14ac:dyDescent="0.2">
      <c r="L332" s="6"/>
    </row>
    <row r="333" spans="12:12" x14ac:dyDescent="0.2">
      <c r="L333" s="6"/>
    </row>
    <row r="334" spans="12:12" x14ac:dyDescent="0.2">
      <c r="L334" s="6"/>
    </row>
    <row r="335" spans="12:12" x14ac:dyDescent="0.2">
      <c r="L335" s="6"/>
    </row>
    <row r="336" spans="12:12" x14ac:dyDescent="0.2">
      <c r="L336" s="6"/>
    </row>
    <row r="337" spans="12:12" x14ac:dyDescent="0.2">
      <c r="L337" s="6"/>
    </row>
    <row r="338" spans="12:12" x14ac:dyDescent="0.2">
      <c r="L338" s="6"/>
    </row>
    <row r="339" spans="12:12" x14ac:dyDescent="0.2">
      <c r="L339" s="6"/>
    </row>
    <row r="340" spans="12:12" x14ac:dyDescent="0.2">
      <c r="L340" s="6"/>
    </row>
    <row r="341" spans="12:12" x14ac:dyDescent="0.2">
      <c r="L341" s="6"/>
    </row>
    <row r="342" spans="12:12" x14ac:dyDescent="0.2">
      <c r="L342" s="6"/>
    </row>
    <row r="343" spans="12:12" x14ac:dyDescent="0.2">
      <c r="L343" s="6"/>
    </row>
    <row r="344" spans="12:12" x14ac:dyDescent="0.2">
      <c r="L344" s="6"/>
    </row>
    <row r="345" spans="12:12" x14ac:dyDescent="0.2">
      <c r="L345" s="6"/>
    </row>
    <row r="346" spans="12:12" x14ac:dyDescent="0.2">
      <c r="L346" s="6"/>
    </row>
    <row r="347" spans="12:12" x14ac:dyDescent="0.2">
      <c r="L347" s="6"/>
    </row>
    <row r="348" spans="12:12" x14ac:dyDescent="0.2">
      <c r="L348" s="6"/>
    </row>
    <row r="349" spans="12:12" x14ac:dyDescent="0.2">
      <c r="L349" s="6"/>
    </row>
    <row r="350" spans="12:12" x14ac:dyDescent="0.2">
      <c r="L350" s="6"/>
    </row>
    <row r="351" spans="12:12" x14ac:dyDescent="0.2">
      <c r="L351" s="6"/>
    </row>
    <row r="352" spans="12:12" x14ac:dyDescent="0.2">
      <c r="L352" s="6"/>
    </row>
    <row r="353" spans="12:12" x14ac:dyDescent="0.2">
      <c r="L353" s="6"/>
    </row>
    <row r="354" spans="12:12" x14ac:dyDescent="0.2">
      <c r="L354" s="6"/>
    </row>
    <row r="355" spans="12:12" x14ac:dyDescent="0.2">
      <c r="L355" s="6"/>
    </row>
    <row r="356" spans="12:12" x14ac:dyDescent="0.2">
      <c r="L356" s="6"/>
    </row>
    <row r="357" spans="12:12" x14ac:dyDescent="0.2">
      <c r="L357" s="6"/>
    </row>
    <row r="358" spans="12:12" x14ac:dyDescent="0.2">
      <c r="L358" s="6"/>
    </row>
    <row r="359" spans="12:12" x14ac:dyDescent="0.2">
      <c r="L359" s="6"/>
    </row>
    <row r="360" spans="12:12" x14ac:dyDescent="0.2">
      <c r="L360" s="6"/>
    </row>
    <row r="361" spans="12:12" x14ac:dyDescent="0.2">
      <c r="L361" s="6"/>
    </row>
    <row r="362" spans="12:12" x14ac:dyDescent="0.2">
      <c r="L362" s="6"/>
    </row>
    <row r="363" spans="12:12" x14ac:dyDescent="0.2">
      <c r="L363" s="6"/>
    </row>
    <row r="364" spans="12:12" x14ac:dyDescent="0.2">
      <c r="L364" s="6"/>
    </row>
    <row r="365" spans="12:12" x14ac:dyDescent="0.2">
      <c r="L365" s="6"/>
    </row>
    <row r="366" spans="12:12" x14ac:dyDescent="0.2">
      <c r="L366" s="6"/>
    </row>
    <row r="367" spans="12:12" x14ac:dyDescent="0.2">
      <c r="L367" s="6"/>
    </row>
    <row r="368" spans="12:12" x14ac:dyDescent="0.2">
      <c r="L368" s="6"/>
    </row>
    <row r="369" spans="12:12" x14ac:dyDescent="0.2">
      <c r="L369" s="6"/>
    </row>
    <row r="370" spans="12:12" x14ac:dyDescent="0.2">
      <c r="L370" s="6"/>
    </row>
    <row r="371" spans="12:12" x14ac:dyDescent="0.2">
      <c r="L371" s="6"/>
    </row>
    <row r="372" spans="12:12" x14ac:dyDescent="0.2">
      <c r="L372" s="6"/>
    </row>
    <row r="373" spans="12:12" x14ac:dyDescent="0.2">
      <c r="L373" s="6"/>
    </row>
    <row r="374" spans="12:12" x14ac:dyDescent="0.2">
      <c r="L374" s="6"/>
    </row>
    <row r="375" spans="12:12" x14ac:dyDescent="0.2">
      <c r="L375" s="6"/>
    </row>
    <row r="376" spans="12:12" x14ac:dyDescent="0.2">
      <c r="L376" s="6"/>
    </row>
    <row r="377" spans="12:12" x14ac:dyDescent="0.2">
      <c r="L377" s="6"/>
    </row>
    <row r="378" spans="12:12" x14ac:dyDescent="0.2">
      <c r="L378" s="6"/>
    </row>
    <row r="379" spans="12:12" x14ac:dyDescent="0.2">
      <c r="L379" s="6"/>
    </row>
    <row r="380" spans="12:12" x14ac:dyDescent="0.2">
      <c r="L380" s="6"/>
    </row>
    <row r="381" spans="12:12" x14ac:dyDescent="0.2">
      <c r="L381" s="6"/>
    </row>
    <row r="382" spans="12:12" x14ac:dyDescent="0.2">
      <c r="L382" s="6"/>
    </row>
    <row r="383" spans="12:12" x14ac:dyDescent="0.2">
      <c r="L383" s="6"/>
    </row>
    <row r="384" spans="12:12" x14ac:dyDescent="0.2">
      <c r="L384" s="6"/>
    </row>
    <row r="385" spans="12:12" x14ac:dyDescent="0.2">
      <c r="L385" s="6"/>
    </row>
    <row r="386" spans="12:12" x14ac:dyDescent="0.2">
      <c r="L386" s="6"/>
    </row>
    <row r="387" spans="12:12" x14ac:dyDescent="0.2">
      <c r="L387" s="6"/>
    </row>
    <row r="388" spans="12:12" x14ac:dyDescent="0.2">
      <c r="L388" s="6"/>
    </row>
    <row r="389" spans="12:12" x14ac:dyDescent="0.2">
      <c r="L389" s="6"/>
    </row>
    <row r="390" spans="12:12" x14ac:dyDescent="0.2">
      <c r="L390" s="6"/>
    </row>
    <row r="391" spans="12:12" x14ac:dyDescent="0.2">
      <c r="L391" s="6"/>
    </row>
    <row r="392" spans="12:12" x14ac:dyDescent="0.2">
      <c r="L392" s="6"/>
    </row>
    <row r="393" spans="12:12" x14ac:dyDescent="0.2">
      <c r="L393" s="6"/>
    </row>
    <row r="394" spans="12:12" x14ac:dyDescent="0.2">
      <c r="L394" s="6"/>
    </row>
    <row r="395" spans="12:12" x14ac:dyDescent="0.2">
      <c r="L395" s="6"/>
    </row>
    <row r="396" spans="12:12" x14ac:dyDescent="0.2">
      <c r="L396" s="6"/>
    </row>
    <row r="397" spans="12:12" x14ac:dyDescent="0.2">
      <c r="L397" s="6"/>
    </row>
    <row r="398" spans="12:12" x14ac:dyDescent="0.2">
      <c r="L398" s="6"/>
    </row>
    <row r="399" spans="12:12" x14ac:dyDescent="0.2">
      <c r="L399" s="6"/>
    </row>
    <row r="400" spans="12:12" x14ac:dyDescent="0.2">
      <c r="L400" s="6"/>
    </row>
    <row r="401" spans="12:12" x14ac:dyDescent="0.2">
      <c r="L401" s="6"/>
    </row>
    <row r="402" spans="12:12" x14ac:dyDescent="0.2">
      <c r="L402" s="6"/>
    </row>
    <row r="403" spans="12:12" x14ac:dyDescent="0.2">
      <c r="L403" s="6"/>
    </row>
    <row r="404" spans="12:12" x14ac:dyDescent="0.2">
      <c r="L404" s="6"/>
    </row>
    <row r="405" spans="12:12" x14ac:dyDescent="0.2">
      <c r="L405" s="6"/>
    </row>
    <row r="406" spans="12:12" x14ac:dyDescent="0.2">
      <c r="L406" s="6"/>
    </row>
    <row r="407" spans="12:12" x14ac:dyDescent="0.2">
      <c r="L407" s="6"/>
    </row>
    <row r="408" spans="12:12" x14ac:dyDescent="0.2">
      <c r="L408" s="6"/>
    </row>
    <row r="409" spans="12:12" x14ac:dyDescent="0.2">
      <c r="L409" s="6"/>
    </row>
    <row r="410" spans="12:12" x14ac:dyDescent="0.2">
      <c r="L410" s="6"/>
    </row>
    <row r="411" spans="12:12" x14ac:dyDescent="0.2">
      <c r="L411" s="6"/>
    </row>
    <row r="412" spans="12:12" x14ac:dyDescent="0.2">
      <c r="L412" s="6"/>
    </row>
    <row r="413" spans="12:12" x14ac:dyDescent="0.2">
      <c r="L413" s="6"/>
    </row>
    <row r="414" spans="12:12" x14ac:dyDescent="0.2">
      <c r="L414" s="6"/>
    </row>
    <row r="415" spans="12:12" x14ac:dyDescent="0.2">
      <c r="L415" s="6"/>
    </row>
    <row r="416" spans="12:12" x14ac:dyDescent="0.2">
      <c r="L416" s="6"/>
    </row>
    <row r="417" spans="12:12" x14ac:dyDescent="0.2">
      <c r="L417" s="6"/>
    </row>
    <row r="418" spans="12:12" x14ac:dyDescent="0.2">
      <c r="L418" s="6"/>
    </row>
    <row r="419" spans="12:12" x14ac:dyDescent="0.2">
      <c r="L419" s="6"/>
    </row>
    <row r="420" spans="12:12" x14ac:dyDescent="0.2">
      <c r="L420" s="6"/>
    </row>
    <row r="421" spans="12:12" x14ac:dyDescent="0.2">
      <c r="L421" s="6"/>
    </row>
    <row r="422" spans="12:12" x14ac:dyDescent="0.2">
      <c r="L422" s="6"/>
    </row>
    <row r="423" spans="12:12" x14ac:dyDescent="0.2">
      <c r="L423" s="6"/>
    </row>
    <row r="424" spans="12:12" x14ac:dyDescent="0.2">
      <c r="L424" s="6"/>
    </row>
    <row r="425" spans="12:12" x14ac:dyDescent="0.2">
      <c r="L425" s="6"/>
    </row>
    <row r="426" spans="12:12" x14ac:dyDescent="0.2">
      <c r="L426" s="6"/>
    </row>
    <row r="427" spans="12:12" x14ac:dyDescent="0.2">
      <c r="L427" s="6"/>
    </row>
    <row r="428" spans="12:12" x14ac:dyDescent="0.2">
      <c r="L428" s="6"/>
    </row>
    <row r="429" spans="12:12" x14ac:dyDescent="0.2">
      <c r="L429" s="6"/>
    </row>
    <row r="430" spans="12:12" x14ac:dyDescent="0.2">
      <c r="L430" s="6"/>
    </row>
    <row r="431" spans="12:12" x14ac:dyDescent="0.2">
      <c r="L431" s="6"/>
    </row>
    <row r="432" spans="12:12" x14ac:dyDescent="0.2">
      <c r="L432" s="6"/>
    </row>
    <row r="433" spans="12:12" x14ac:dyDescent="0.2">
      <c r="L433" s="6"/>
    </row>
    <row r="434" spans="12:12" x14ac:dyDescent="0.2">
      <c r="L434" s="6"/>
    </row>
    <row r="435" spans="12:12" x14ac:dyDescent="0.2">
      <c r="L435" s="6"/>
    </row>
    <row r="436" spans="12:12" x14ac:dyDescent="0.2">
      <c r="L436" s="6"/>
    </row>
    <row r="437" spans="12:12" x14ac:dyDescent="0.2">
      <c r="L437" s="6"/>
    </row>
    <row r="438" spans="12:12" x14ac:dyDescent="0.2">
      <c r="L438" s="6"/>
    </row>
    <row r="439" spans="12:12" x14ac:dyDescent="0.2">
      <c r="L439" s="6"/>
    </row>
    <row r="440" spans="12:12" x14ac:dyDescent="0.2">
      <c r="L440" s="6"/>
    </row>
    <row r="441" spans="12:12" x14ac:dyDescent="0.2">
      <c r="L441" s="6"/>
    </row>
    <row r="442" spans="12:12" x14ac:dyDescent="0.2">
      <c r="L442" s="6"/>
    </row>
    <row r="443" spans="12:12" x14ac:dyDescent="0.2">
      <c r="L443" s="6"/>
    </row>
    <row r="444" spans="12:12" x14ac:dyDescent="0.2">
      <c r="L444" s="6"/>
    </row>
    <row r="445" spans="12:12" x14ac:dyDescent="0.2">
      <c r="L445" s="6"/>
    </row>
    <row r="446" spans="12:12" x14ac:dyDescent="0.2">
      <c r="L446" s="6"/>
    </row>
    <row r="447" spans="12:12" x14ac:dyDescent="0.2">
      <c r="L447" s="6"/>
    </row>
    <row r="448" spans="12:12" x14ac:dyDescent="0.2">
      <c r="L448" s="6"/>
    </row>
    <row r="449" spans="12:12" x14ac:dyDescent="0.2">
      <c r="L449" s="6"/>
    </row>
    <row r="450" spans="12:12" x14ac:dyDescent="0.2">
      <c r="L450" s="6"/>
    </row>
    <row r="451" spans="12:12" x14ac:dyDescent="0.2">
      <c r="L451" s="6"/>
    </row>
    <row r="452" spans="12:12" x14ac:dyDescent="0.2">
      <c r="L452" s="6"/>
    </row>
    <row r="453" spans="12:12" x14ac:dyDescent="0.2">
      <c r="L453" s="6"/>
    </row>
    <row r="454" spans="12:12" x14ac:dyDescent="0.2">
      <c r="L454" s="6"/>
    </row>
    <row r="455" spans="12:12" x14ac:dyDescent="0.2">
      <c r="L455" s="6"/>
    </row>
    <row r="456" spans="12:12" x14ac:dyDescent="0.2">
      <c r="L456" s="6"/>
    </row>
    <row r="457" spans="12:12" x14ac:dyDescent="0.2">
      <c r="L457" s="6"/>
    </row>
    <row r="458" spans="12:12" x14ac:dyDescent="0.2">
      <c r="L458" s="6"/>
    </row>
    <row r="459" spans="12:12" x14ac:dyDescent="0.2">
      <c r="L459" s="6"/>
    </row>
    <row r="460" spans="12:12" x14ac:dyDescent="0.2">
      <c r="L460" s="6"/>
    </row>
    <row r="461" spans="12:12" x14ac:dyDescent="0.2">
      <c r="L461" s="6"/>
    </row>
    <row r="462" spans="12:12" x14ac:dyDescent="0.2">
      <c r="L462" s="6"/>
    </row>
    <row r="463" spans="12:12" x14ac:dyDescent="0.2">
      <c r="L463" s="6"/>
    </row>
    <row r="464" spans="12:12" x14ac:dyDescent="0.2">
      <c r="L464" s="6"/>
    </row>
    <row r="465" spans="12:12" x14ac:dyDescent="0.2">
      <c r="L465" s="6"/>
    </row>
    <row r="466" spans="12:12" x14ac:dyDescent="0.2">
      <c r="L466" s="6"/>
    </row>
    <row r="467" spans="12:12" x14ac:dyDescent="0.2">
      <c r="L467" s="6"/>
    </row>
    <row r="468" spans="12:12" x14ac:dyDescent="0.2">
      <c r="L468" s="6"/>
    </row>
    <row r="469" spans="12:12" x14ac:dyDescent="0.2">
      <c r="L469" s="6"/>
    </row>
    <row r="470" spans="12:12" x14ac:dyDescent="0.2">
      <c r="L470" s="6"/>
    </row>
    <row r="471" spans="12:12" x14ac:dyDescent="0.2">
      <c r="L471" s="6"/>
    </row>
    <row r="472" spans="12:12" x14ac:dyDescent="0.2">
      <c r="L472" s="6"/>
    </row>
    <row r="473" spans="12:12" x14ac:dyDescent="0.2">
      <c r="L473" s="6"/>
    </row>
    <row r="474" spans="12:12" x14ac:dyDescent="0.2">
      <c r="L474" s="6"/>
    </row>
    <row r="475" spans="12:12" x14ac:dyDescent="0.2">
      <c r="L475" s="6"/>
    </row>
    <row r="476" spans="12:12" x14ac:dyDescent="0.2">
      <c r="L476" s="6"/>
    </row>
    <row r="477" spans="12:12" x14ac:dyDescent="0.2">
      <c r="L477" s="6"/>
    </row>
    <row r="478" spans="12:12" x14ac:dyDescent="0.2">
      <c r="L478" s="6"/>
    </row>
    <row r="479" spans="12:12" x14ac:dyDescent="0.2">
      <c r="L479" s="6"/>
    </row>
    <row r="480" spans="12:12" x14ac:dyDescent="0.2">
      <c r="L480" s="6"/>
    </row>
    <row r="481" spans="12:12" x14ac:dyDescent="0.2">
      <c r="L481" s="6"/>
    </row>
    <row r="482" spans="12:12" x14ac:dyDescent="0.2">
      <c r="L482" s="6"/>
    </row>
    <row r="483" spans="12:12" x14ac:dyDescent="0.2">
      <c r="L483" s="6"/>
    </row>
    <row r="484" spans="12:12" x14ac:dyDescent="0.2">
      <c r="L484" s="6"/>
    </row>
    <row r="485" spans="12:12" x14ac:dyDescent="0.2">
      <c r="L485" s="6"/>
    </row>
    <row r="486" spans="12:12" x14ac:dyDescent="0.2">
      <c r="L486" s="6"/>
    </row>
    <row r="487" spans="12:12" x14ac:dyDescent="0.2">
      <c r="L487" s="6"/>
    </row>
    <row r="488" spans="12:12" x14ac:dyDescent="0.2">
      <c r="L488" s="6"/>
    </row>
    <row r="489" spans="12:12" x14ac:dyDescent="0.2">
      <c r="L489" s="6"/>
    </row>
    <row r="490" spans="12:12" x14ac:dyDescent="0.2">
      <c r="L490" s="6"/>
    </row>
    <row r="491" spans="12:12" x14ac:dyDescent="0.2">
      <c r="L491" s="6"/>
    </row>
    <row r="492" spans="12:12" x14ac:dyDescent="0.2">
      <c r="L492" s="6"/>
    </row>
    <row r="493" spans="12:12" x14ac:dyDescent="0.2">
      <c r="L493" s="6"/>
    </row>
    <row r="494" spans="12:12" x14ac:dyDescent="0.2">
      <c r="L494" s="6"/>
    </row>
    <row r="495" spans="12:12" x14ac:dyDescent="0.2">
      <c r="L495" s="6"/>
    </row>
    <row r="496" spans="12:12" x14ac:dyDescent="0.2">
      <c r="L496" s="6"/>
    </row>
    <row r="497" spans="12:12" x14ac:dyDescent="0.2">
      <c r="L497" s="6"/>
    </row>
    <row r="498" spans="12:12" x14ac:dyDescent="0.2">
      <c r="L498" s="6"/>
    </row>
    <row r="499" spans="12:12" x14ac:dyDescent="0.2">
      <c r="L499" s="6"/>
    </row>
    <row r="500" spans="12:12" x14ac:dyDescent="0.2">
      <c r="L500" s="6"/>
    </row>
    <row r="501" spans="12:12" x14ac:dyDescent="0.2">
      <c r="L501" s="6"/>
    </row>
    <row r="502" spans="12:12" x14ac:dyDescent="0.2">
      <c r="L502" s="6"/>
    </row>
    <row r="503" spans="12:12" x14ac:dyDescent="0.2">
      <c r="L503" s="6"/>
    </row>
    <row r="504" spans="12:12" x14ac:dyDescent="0.2">
      <c r="L504" s="6"/>
    </row>
    <row r="505" spans="12:12" x14ac:dyDescent="0.2">
      <c r="L505" s="6"/>
    </row>
    <row r="506" spans="12:12" x14ac:dyDescent="0.2">
      <c r="L506" s="6"/>
    </row>
    <row r="507" spans="12:12" x14ac:dyDescent="0.2">
      <c r="L507" s="6"/>
    </row>
    <row r="508" spans="12:12" x14ac:dyDescent="0.2">
      <c r="L508" s="6"/>
    </row>
    <row r="509" spans="12:12" x14ac:dyDescent="0.2">
      <c r="L509" s="6"/>
    </row>
    <row r="510" spans="12:12" x14ac:dyDescent="0.2">
      <c r="L510" s="6"/>
    </row>
    <row r="511" spans="12:12" x14ac:dyDescent="0.2">
      <c r="L511" s="6"/>
    </row>
    <row r="512" spans="12:12" x14ac:dyDescent="0.2">
      <c r="L512" s="6"/>
    </row>
    <row r="513" spans="12:12" x14ac:dyDescent="0.2">
      <c r="L513" s="6"/>
    </row>
    <row r="514" spans="12:12" x14ac:dyDescent="0.2">
      <c r="L514" s="6"/>
    </row>
    <row r="515" spans="12:12" x14ac:dyDescent="0.2">
      <c r="L515" s="6"/>
    </row>
    <row r="516" spans="12:12" x14ac:dyDescent="0.2">
      <c r="L516" s="6"/>
    </row>
    <row r="517" spans="12:12" x14ac:dyDescent="0.2">
      <c r="L517" s="6"/>
    </row>
    <row r="518" spans="12:12" x14ac:dyDescent="0.2">
      <c r="L518" s="6"/>
    </row>
    <row r="519" spans="12:12" x14ac:dyDescent="0.2">
      <c r="L519" s="6"/>
    </row>
    <row r="520" spans="12:12" x14ac:dyDescent="0.2">
      <c r="L520" s="6"/>
    </row>
    <row r="521" spans="12:12" x14ac:dyDescent="0.2">
      <c r="L521" s="6"/>
    </row>
    <row r="522" spans="12:12" x14ac:dyDescent="0.2">
      <c r="L522" s="6"/>
    </row>
    <row r="523" spans="12:12" x14ac:dyDescent="0.2">
      <c r="L523" s="6"/>
    </row>
    <row r="524" spans="12:12" x14ac:dyDescent="0.2">
      <c r="L524" s="6"/>
    </row>
    <row r="525" spans="12:12" x14ac:dyDescent="0.2">
      <c r="L525" s="6"/>
    </row>
    <row r="526" spans="12:12" x14ac:dyDescent="0.2">
      <c r="L526" s="6"/>
    </row>
    <row r="527" spans="12:12" x14ac:dyDescent="0.2">
      <c r="L527" s="6"/>
    </row>
    <row r="528" spans="12:12" x14ac:dyDescent="0.2">
      <c r="L528" s="6"/>
    </row>
    <row r="529" spans="12:12" x14ac:dyDescent="0.2">
      <c r="L529" s="6"/>
    </row>
    <row r="530" spans="12:12" x14ac:dyDescent="0.2">
      <c r="L530" s="6"/>
    </row>
    <row r="531" spans="12:12" x14ac:dyDescent="0.2">
      <c r="L531" s="6"/>
    </row>
    <row r="532" spans="12:12" x14ac:dyDescent="0.2">
      <c r="L532" s="6"/>
    </row>
    <row r="533" spans="12:12" x14ac:dyDescent="0.2">
      <c r="L533" s="6"/>
    </row>
    <row r="534" spans="12:12" x14ac:dyDescent="0.2">
      <c r="L534" s="6"/>
    </row>
    <row r="535" spans="12:12" x14ac:dyDescent="0.2">
      <c r="L535" s="6"/>
    </row>
    <row r="536" spans="12:12" x14ac:dyDescent="0.2">
      <c r="L536" s="6"/>
    </row>
    <row r="537" spans="12:12" x14ac:dyDescent="0.2">
      <c r="L537" s="6"/>
    </row>
    <row r="538" spans="12:12" x14ac:dyDescent="0.2">
      <c r="L538" s="6"/>
    </row>
    <row r="539" spans="12:12" x14ac:dyDescent="0.2">
      <c r="L539" s="6"/>
    </row>
    <row r="540" spans="12:12" x14ac:dyDescent="0.2">
      <c r="L540" s="6"/>
    </row>
    <row r="541" spans="12:12" x14ac:dyDescent="0.2">
      <c r="L541" s="6"/>
    </row>
    <row r="542" spans="12:12" x14ac:dyDescent="0.2">
      <c r="L542" s="6"/>
    </row>
    <row r="543" spans="12:12" x14ac:dyDescent="0.2">
      <c r="L543" s="6"/>
    </row>
    <row r="544" spans="12:12" x14ac:dyDescent="0.2">
      <c r="L544" s="6"/>
    </row>
    <row r="545" spans="12:12" x14ac:dyDescent="0.2">
      <c r="L545" s="6"/>
    </row>
    <row r="546" spans="12:12" x14ac:dyDescent="0.2">
      <c r="L546" s="6"/>
    </row>
    <row r="547" spans="12:12" x14ac:dyDescent="0.2">
      <c r="L547" s="6"/>
    </row>
    <row r="548" spans="12:12" x14ac:dyDescent="0.2">
      <c r="L548" s="6"/>
    </row>
    <row r="549" spans="12:12" x14ac:dyDescent="0.2">
      <c r="L549" s="6"/>
    </row>
    <row r="550" spans="12:12" x14ac:dyDescent="0.2">
      <c r="L550" s="6"/>
    </row>
    <row r="551" spans="12:12" x14ac:dyDescent="0.2">
      <c r="L551" s="6"/>
    </row>
    <row r="552" spans="12:12" x14ac:dyDescent="0.2">
      <c r="L552" s="6"/>
    </row>
    <row r="553" spans="12:12" x14ac:dyDescent="0.2">
      <c r="L553" s="6"/>
    </row>
    <row r="554" spans="12:12" x14ac:dyDescent="0.2">
      <c r="L554" s="6"/>
    </row>
    <row r="555" spans="12:12" x14ac:dyDescent="0.2">
      <c r="L555" s="6"/>
    </row>
    <row r="556" spans="12:12" x14ac:dyDescent="0.2">
      <c r="L556" s="6"/>
    </row>
    <row r="557" spans="12:12" x14ac:dyDescent="0.2">
      <c r="L557" s="6"/>
    </row>
    <row r="558" spans="12:12" x14ac:dyDescent="0.2">
      <c r="L558" s="6"/>
    </row>
    <row r="559" spans="12:12" x14ac:dyDescent="0.2">
      <c r="L559" s="6"/>
    </row>
    <row r="560" spans="12:12" x14ac:dyDescent="0.2">
      <c r="L560" s="6"/>
    </row>
    <row r="561" spans="12:12" x14ac:dyDescent="0.2">
      <c r="L561" s="6"/>
    </row>
    <row r="562" spans="12:12" x14ac:dyDescent="0.2">
      <c r="L562" s="6"/>
    </row>
    <row r="563" spans="12:12" x14ac:dyDescent="0.2">
      <c r="L563" s="6"/>
    </row>
    <row r="564" spans="12:12" x14ac:dyDescent="0.2">
      <c r="L564" s="6"/>
    </row>
    <row r="565" spans="12:12" x14ac:dyDescent="0.2">
      <c r="L565" s="6"/>
    </row>
    <row r="566" spans="12:12" x14ac:dyDescent="0.2">
      <c r="L566" s="6"/>
    </row>
    <row r="567" spans="12:12" x14ac:dyDescent="0.2">
      <c r="L567" s="6"/>
    </row>
    <row r="568" spans="12:12" x14ac:dyDescent="0.2">
      <c r="L568" s="6"/>
    </row>
    <row r="569" spans="12:12" x14ac:dyDescent="0.2">
      <c r="L569" s="6"/>
    </row>
    <row r="570" spans="12:12" x14ac:dyDescent="0.2">
      <c r="L570" s="6"/>
    </row>
    <row r="571" spans="12:12" x14ac:dyDescent="0.2">
      <c r="L571" s="6"/>
    </row>
    <row r="572" spans="12:12" x14ac:dyDescent="0.2">
      <c r="L572" s="6"/>
    </row>
    <row r="573" spans="12:12" x14ac:dyDescent="0.2">
      <c r="L573" s="6"/>
    </row>
    <row r="574" spans="12:12" x14ac:dyDescent="0.2">
      <c r="L574" s="6"/>
    </row>
    <row r="575" spans="12:12" x14ac:dyDescent="0.2">
      <c r="L575" s="6"/>
    </row>
    <row r="576" spans="12:12" x14ac:dyDescent="0.2">
      <c r="L576" s="6"/>
    </row>
    <row r="577" spans="12:12" x14ac:dyDescent="0.2">
      <c r="L577" s="6"/>
    </row>
    <row r="578" spans="12:12" x14ac:dyDescent="0.2">
      <c r="L578" s="6"/>
    </row>
    <row r="579" spans="12:12" x14ac:dyDescent="0.2">
      <c r="L579" s="6"/>
    </row>
    <row r="580" spans="12:12" x14ac:dyDescent="0.2">
      <c r="L580" s="6"/>
    </row>
    <row r="581" spans="12:12" x14ac:dyDescent="0.2">
      <c r="L581" s="6"/>
    </row>
    <row r="582" spans="12:12" x14ac:dyDescent="0.2">
      <c r="L582" s="6"/>
    </row>
    <row r="583" spans="12:12" x14ac:dyDescent="0.2">
      <c r="L583" s="6"/>
    </row>
    <row r="584" spans="12:12" x14ac:dyDescent="0.2">
      <c r="L584" s="6"/>
    </row>
    <row r="585" spans="12:12" x14ac:dyDescent="0.2">
      <c r="L585" s="6"/>
    </row>
    <row r="586" spans="12:12" x14ac:dyDescent="0.2">
      <c r="L586" s="6"/>
    </row>
    <row r="587" spans="12:12" x14ac:dyDescent="0.2">
      <c r="L587" s="6"/>
    </row>
    <row r="588" spans="12:12" x14ac:dyDescent="0.2">
      <c r="L588" s="6"/>
    </row>
    <row r="589" spans="12:12" x14ac:dyDescent="0.2">
      <c r="L589" s="6"/>
    </row>
    <row r="590" spans="12:12" x14ac:dyDescent="0.2">
      <c r="L590" s="6"/>
    </row>
    <row r="591" spans="12:12" x14ac:dyDescent="0.2">
      <c r="L591" s="6"/>
    </row>
    <row r="592" spans="12:12" x14ac:dyDescent="0.2">
      <c r="L592" s="6"/>
    </row>
    <row r="593" spans="12:12" x14ac:dyDescent="0.2">
      <c r="L593" s="6"/>
    </row>
    <row r="594" spans="12:12" x14ac:dyDescent="0.2">
      <c r="L594" s="6"/>
    </row>
    <row r="595" spans="12:12" x14ac:dyDescent="0.2">
      <c r="L595" s="6"/>
    </row>
    <row r="596" spans="12:12" x14ac:dyDescent="0.2">
      <c r="L596" s="6"/>
    </row>
    <row r="597" spans="12:12" x14ac:dyDescent="0.2">
      <c r="L597" s="6"/>
    </row>
    <row r="598" spans="12:12" x14ac:dyDescent="0.2">
      <c r="L598" s="6"/>
    </row>
    <row r="599" spans="12:12" x14ac:dyDescent="0.2">
      <c r="L599" s="6"/>
    </row>
    <row r="600" spans="12:12" x14ac:dyDescent="0.2">
      <c r="L600" s="6"/>
    </row>
    <row r="601" spans="12:12" x14ac:dyDescent="0.2">
      <c r="L601" s="6"/>
    </row>
    <row r="602" spans="12:12" x14ac:dyDescent="0.2">
      <c r="L602" s="6"/>
    </row>
    <row r="603" spans="12:12" x14ac:dyDescent="0.2">
      <c r="L603" s="6"/>
    </row>
    <row r="604" spans="12:12" x14ac:dyDescent="0.2">
      <c r="L604" s="6"/>
    </row>
    <row r="605" spans="12:12" x14ac:dyDescent="0.2">
      <c r="L605" s="6"/>
    </row>
    <row r="606" spans="12:12" x14ac:dyDescent="0.2">
      <c r="L606" s="6"/>
    </row>
    <row r="607" spans="12:12" x14ac:dyDescent="0.2">
      <c r="L607" s="6"/>
    </row>
    <row r="608" spans="12:12" x14ac:dyDescent="0.2">
      <c r="L608" s="6"/>
    </row>
    <row r="609" spans="12:12" x14ac:dyDescent="0.2">
      <c r="L609" s="6"/>
    </row>
    <row r="610" spans="12:12" x14ac:dyDescent="0.2">
      <c r="L610" s="6"/>
    </row>
    <row r="611" spans="12:12" x14ac:dyDescent="0.2">
      <c r="L611" s="6"/>
    </row>
    <row r="612" spans="12:12" x14ac:dyDescent="0.2">
      <c r="L612" s="6"/>
    </row>
    <row r="613" spans="12:12" x14ac:dyDescent="0.2">
      <c r="L613" s="6"/>
    </row>
    <row r="614" spans="12:12" x14ac:dyDescent="0.2">
      <c r="L614" s="6"/>
    </row>
    <row r="615" spans="12:12" x14ac:dyDescent="0.2">
      <c r="L615" s="6"/>
    </row>
    <row r="616" spans="12:12" x14ac:dyDescent="0.2">
      <c r="L616" s="6"/>
    </row>
    <row r="617" spans="12:12" x14ac:dyDescent="0.2">
      <c r="L617" s="6"/>
    </row>
    <row r="618" spans="12:12" x14ac:dyDescent="0.2">
      <c r="L618" s="6"/>
    </row>
    <row r="619" spans="12:12" x14ac:dyDescent="0.2">
      <c r="L619" s="6"/>
    </row>
    <row r="620" spans="12:12" x14ac:dyDescent="0.2">
      <c r="L620" s="6"/>
    </row>
    <row r="621" spans="12:12" x14ac:dyDescent="0.2">
      <c r="L621" s="6"/>
    </row>
    <row r="622" spans="12:12" x14ac:dyDescent="0.2">
      <c r="L622" s="6"/>
    </row>
    <row r="623" spans="12:12" x14ac:dyDescent="0.2">
      <c r="L623" s="6"/>
    </row>
    <row r="624" spans="12:12" x14ac:dyDescent="0.2">
      <c r="L624" s="6"/>
    </row>
    <row r="625" spans="12:12" x14ac:dyDescent="0.2">
      <c r="L625" s="6"/>
    </row>
    <row r="626" spans="12:12" x14ac:dyDescent="0.2">
      <c r="L626" s="6"/>
    </row>
    <row r="627" spans="12:12" x14ac:dyDescent="0.2">
      <c r="L627" s="6"/>
    </row>
    <row r="628" spans="12:12" x14ac:dyDescent="0.2">
      <c r="L628" s="6"/>
    </row>
    <row r="629" spans="12:12" x14ac:dyDescent="0.2">
      <c r="L629" s="6"/>
    </row>
    <row r="630" spans="12:12" x14ac:dyDescent="0.2">
      <c r="L630" s="6"/>
    </row>
    <row r="631" spans="12:12" x14ac:dyDescent="0.2">
      <c r="L631" s="6"/>
    </row>
    <row r="632" spans="12:12" x14ac:dyDescent="0.2">
      <c r="L632" s="6"/>
    </row>
    <row r="633" spans="12:12" x14ac:dyDescent="0.2">
      <c r="L633" s="6"/>
    </row>
    <row r="634" spans="12:12" x14ac:dyDescent="0.2">
      <c r="L634" s="6"/>
    </row>
    <row r="635" spans="12:12" x14ac:dyDescent="0.2">
      <c r="L635" s="6"/>
    </row>
    <row r="636" spans="12:12" x14ac:dyDescent="0.2">
      <c r="L636" s="6"/>
    </row>
    <row r="637" spans="12:12" x14ac:dyDescent="0.2">
      <c r="L637" s="6"/>
    </row>
    <row r="638" spans="12:12" x14ac:dyDescent="0.2">
      <c r="L638" s="6"/>
    </row>
    <row r="639" spans="12:12" x14ac:dyDescent="0.2">
      <c r="L639" s="6"/>
    </row>
    <row r="640" spans="12:12" x14ac:dyDescent="0.2">
      <c r="L640" s="6"/>
    </row>
    <row r="641" spans="12:12" x14ac:dyDescent="0.2">
      <c r="L641" s="6"/>
    </row>
    <row r="642" spans="12:12" x14ac:dyDescent="0.2">
      <c r="L642" s="6"/>
    </row>
    <row r="643" spans="12:12" x14ac:dyDescent="0.2">
      <c r="L643" s="6"/>
    </row>
    <row r="644" spans="12:12" x14ac:dyDescent="0.2">
      <c r="L644" s="6"/>
    </row>
    <row r="645" spans="12:12" x14ac:dyDescent="0.2">
      <c r="L645" s="6"/>
    </row>
    <row r="646" spans="12:12" x14ac:dyDescent="0.2">
      <c r="L646" s="6"/>
    </row>
    <row r="647" spans="12:12" x14ac:dyDescent="0.2">
      <c r="L647" s="6"/>
    </row>
    <row r="648" spans="12:12" x14ac:dyDescent="0.2">
      <c r="L648" s="6"/>
    </row>
    <row r="649" spans="12:12" x14ac:dyDescent="0.2">
      <c r="L649" s="6"/>
    </row>
    <row r="650" spans="12:12" x14ac:dyDescent="0.2">
      <c r="L650" s="6"/>
    </row>
    <row r="651" spans="12:12" x14ac:dyDescent="0.2">
      <c r="L651" s="6"/>
    </row>
    <row r="652" spans="12:12" x14ac:dyDescent="0.2">
      <c r="L652" s="6"/>
    </row>
    <row r="653" spans="12:12" x14ac:dyDescent="0.2">
      <c r="L653" s="6"/>
    </row>
    <row r="654" spans="12:12" x14ac:dyDescent="0.2">
      <c r="L654" s="6"/>
    </row>
    <row r="655" spans="12:12" x14ac:dyDescent="0.2">
      <c r="L655" s="6"/>
    </row>
    <row r="656" spans="12:12" x14ac:dyDescent="0.2">
      <c r="L656" s="6"/>
    </row>
    <row r="657" spans="12:12" x14ac:dyDescent="0.2">
      <c r="L657" s="6"/>
    </row>
    <row r="658" spans="12:12" x14ac:dyDescent="0.2">
      <c r="L658" s="6"/>
    </row>
    <row r="659" spans="12:12" x14ac:dyDescent="0.2">
      <c r="L659" s="6"/>
    </row>
    <row r="660" spans="12:12" x14ac:dyDescent="0.2">
      <c r="L660" s="6"/>
    </row>
    <row r="661" spans="12:12" x14ac:dyDescent="0.2">
      <c r="L661" s="6"/>
    </row>
    <row r="662" spans="12:12" x14ac:dyDescent="0.2">
      <c r="L662" s="6"/>
    </row>
    <row r="663" spans="12:12" x14ac:dyDescent="0.2">
      <c r="L663" s="6"/>
    </row>
    <row r="664" spans="12:12" x14ac:dyDescent="0.2">
      <c r="L664" s="6"/>
    </row>
    <row r="665" spans="12:12" x14ac:dyDescent="0.2">
      <c r="L665" s="6"/>
    </row>
    <row r="666" spans="12:12" x14ac:dyDescent="0.2">
      <c r="L666" s="6"/>
    </row>
    <row r="667" spans="12:12" x14ac:dyDescent="0.2">
      <c r="L667" s="6"/>
    </row>
    <row r="668" spans="12:12" x14ac:dyDescent="0.2">
      <c r="L668" s="6"/>
    </row>
    <row r="669" spans="12:12" x14ac:dyDescent="0.2">
      <c r="L669" s="6"/>
    </row>
    <row r="670" spans="12:12" x14ac:dyDescent="0.2">
      <c r="L670" s="6"/>
    </row>
    <row r="671" spans="12:12" x14ac:dyDescent="0.2">
      <c r="L671" s="6"/>
    </row>
    <row r="672" spans="12:12" x14ac:dyDescent="0.2">
      <c r="L672" s="6"/>
    </row>
    <row r="673" spans="12:12" x14ac:dyDescent="0.2">
      <c r="L673" s="6"/>
    </row>
    <row r="674" spans="12:12" x14ac:dyDescent="0.2">
      <c r="L674" s="6"/>
    </row>
    <row r="675" spans="12:12" x14ac:dyDescent="0.2">
      <c r="L675" s="6"/>
    </row>
    <row r="676" spans="12:12" x14ac:dyDescent="0.2">
      <c r="L676" s="6"/>
    </row>
    <row r="677" spans="12:12" x14ac:dyDescent="0.2">
      <c r="L677" s="6"/>
    </row>
    <row r="678" spans="12:12" x14ac:dyDescent="0.2">
      <c r="L678" s="6"/>
    </row>
    <row r="679" spans="12:12" x14ac:dyDescent="0.2">
      <c r="L679" s="6"/>
    </row>
    <row r="680" spans="12:12" x14ac:dyDescent="0.2">
      <c r="L680" s="6"/>
    </row>
    <row r="681" spans="12:12" x14ac:dyDescent="0.2">
      <c r="L681" s="6"/>
    </row>
    <row r="682" spans="12:12" x14ac:dyDescent="0.2">
      <c r="L682" s="6"/>
    </row>
    <row r="683" spans="12:12" x14ac:dyDescent="0.2">
      <c r="L683" s="6"/>
    </row>
    <row r="684" spans="12:12" x14ac:dyDescent="0.2">
      <c r="L684" s="6"/>
    </row>
    <row r="685" spans="12:12" x14ac:dyDescent="0.2">
      <c r="L685" s="6"/>
    </row>
    <row r="686" spans="12:12" x14ac:dyDescent="0.2">
      <c r="L686" s="6"/>
    </row>
    <row r="687" spans="12:12" x14ac:dyDescent="0.2">
      <c r="L687" s="6"/>
    </row>
    <row r="688" spans="12:12" x14ac:dyDescent="0.2">
      <c r="L688" s="6"/>
    </row>
    <row r="689" spans="12:12" x14ac:dyDescent="0.2">
      <c r="L689" s="6"/>
    </row>
    <row r="690" spans="12:12" x14ac:dyDescent="0.2">
      <c r="L690" s="6"/>
    </row>
    <row r="691" spans="12:12" x14ac:dyDescent="0.2">
      <c r="L691" s="6"/>
    </row>
    <row r="692" spans="12:12" x14ac:dyDescent="0.2">
      <c r="L692" s="6"/>
    </row>
    <row r="693" spans="12:12" x14ac:dyDescent="0.2">
      <c r="L693" s="6"/>
    </row>
    <row r="694" spans="12:12" x14ac:dyDescent="0.2">
      <c r="L694" s="6"/>
    </row>
    <row r="695" spans="12:12" x14ac:dyDescent="0.2">
      <c r="L695" s="6"/>
    </row>
    <row r="696" spans="12:12" x14ac:dyDescent="0.2">
      <c r="L696" s="6"/>
    </row>
    <row r="697" spans="12:12" x14ac:dyDescent="0.2">
      <c r="L697" s="6"/>
    </row>
    <row r="698" spans="12:12" x14ac:dyDescent="0.2">
      <c r="L698" s="6"/>
    </row>
    <row r="699" spans="12:12" x14ac:dyDescent="0.2">
      <c r="L699" s="6"/>
    </row>
    <row r="700" spans="12:12" x14ac:dyDescent="0.2">
      <c r="L700" s="6"/>
    </row>
    <row r="701" spans="12:12" x14ac:dyDescent="0.2">
      <c r="L701" s="6"/>
    </row>
    <row r="702" spans="12:12" x14ac:dyDescent="0.2">
      <c r="L702" s="6"/>
    </row>
    <row r="703" spans="12:12" x14ac:dyDescent="0.2">
      <c r="L703" s="6"/>
    </row>
    <row r="704" spans="12:12" x14ac:dyDescent="0.2">
      <c r="L704" s="6"/>
    </row>
    <row r="705" spans="12:12" x14ac:dyDescent="0.2">
      <c r="L705" s="6"/>
    </row>
    <row r="706" spans="12:12" x14ac:dyDescent="0.2">
      <c r="L706" s="6"/>
    </row>
    <row r="707" spans="12:12" x14ac:dyDescent="0.2">
      <c r="L707" s="6"/>
    </row>
    <row r="708" spans="12:12" x14ac:dyDescent="0.2">
      <c r="L708" s="6"/>
    </row>
    <row r="709" spans="12:12" x14ac:dyDescent="0.2">
      <c r="L709" s="6"/>
    </row>
    <row r="710" spans="12:12" x14ac:dyDescent="0.2">
      <c r="L710" s="6"/>
    </row>
    <row r="711" spans="12:12" x14ac:dyDescent="0.2">
      <c r="L711" s="6"/>
    </row>
    <row r="712" spans="12:12" x14ac:dyDescent="0.2">
      <c r="L712" s="6"/>
    </row>
    <row r="713" spans="12:12" x14ac:dyDescent="0.2">
      <c r="L713" s="6"/>
    </row>
    <row r="714" spans="12:12" x14ac:dyDescent="0.2">
      <c r="L714" s="6"/>
    </row>
    <row r="715" spans="12:12" x14ac:dyDescent="0.2">
      <c r="L715" s="6"/>
    </row>
    <row r="716" spans="12:12" x14ac:dyDescent="0.2">
      <c r="L716" s="6"/>
    </row>
    <row r="717" spans="12:12" x14ac:dyDescent="0.2">
      <c r="L717" s="6"/>
    </row>
    <row r="718" spans="12:12" x14ac:dyDescent="0.2">
      <c r="L718" s="6"/>
    </row>
    <row r="719" spans="12:12" x14ac:dyDescent="0.2">
      <c r="L719" s="6"/>
    </row>
    <row r="720" spans="12:12" x14ac:dyDescent="0.2">
      <c r="L720" s="6"/>
    </row>
    <row r="721" spans="12:12" x14ac:dyDescent="0.2">
      <c r="L721" s="6"/>
    </row>
    <row r="722" spans="12:12" x14ac:dyDescent="0.2">
      <c r="L722" s="6"/>
    </row>
    <row r="723" spans="12:12" x14ac:dyDescent="0.2">
      <c r="L723" s="6"/>
    </row>
    <row r="724" spans="12:12" x14ac:dyDescent="0.2">
      <c r="L724" s="6"/>
    </row>
    <row r="725" spans="12:12" x14ac:dyDescent="0.2">
      <c r="L725" s="6"/>
    </row>
    <row r="726" spans="12:12" x14ac:dyDescent="0.2">
      <c r="L726" s="6"/>
    </row>
    <row r="727" spans="12:12" x14ac:dyDescent="0.2">
      <c r="L727" s="6"/>
    </row>
    <row r="728" spans="12:12" x14ac:dyDescent="0.2">
      <c r="L728" s="6"/>
    </row>
    <row r="729" spans="12:12" x14ac:dyDescent="0.2">
      <c r="L729" s="6"/>
    </row>
    <row r="730" spans="12:12" x14ac:dyDescent="0.2">
      <c r="L730" s="6"/>
    </row>
    <row r="731" spans="12:12" x14ac:dyDescent="0.2">
      <c r="L731" s="6"/>
    </row>
    <row r="732" spans="12:12" x14ac:dyDescent="0.2">
      <c r="L732" s="6"/>
    </row>
    <row r="733" spans="12:12" x14ac:dyDescent="0.2">
      <c r="L733" s="6"/>
    </row>
    <row r="734" spans="12:12" x14ac:dyDescent="0.2">
      <c r="L734" s="6"/>
    </row>
    <row r="735" spans="12:12" x14ac:dyDescent="0.2">
      <c r="L735" s="6"/>
    </row>
    <row r="736" spans="12:12" x14ac:dyDescent="0.2">
      <c r="L736" s="6"/>
    </row>
    <row r="737" spans="12:12" x14ac:dyDescent="0.2">
      <c r="L737" s="6"/>
    </row>
    <row r="738" spans="12:12" x14ac:dyDescent="0.2">
      <c r="L738" s="6"/>
    </row>
    <row r="739" spans="12:12" x14ac:dyDescent="0.2">
      <c r="L739" s="6"/>
    </row>
    <row r="740" spans="12:12" x14ac:dyDescent="0.2">
      <c r="L740" s="6"/>
    </row>
    <row r="741" spans="12:12" x14ac:dyDescent="0.2">
      <c r="L741" s="6"/>
    </row>
    <row r="742" spans="12:12" x14ac:dyDescent="0.2">
      <c r="L742" s="6"/>
    </row>
    <row r="743" spans="12:12" x14ac:dyDescent="0.2">
      <c r="L743" s="6"/>
    </row>
    <row r="744" spans="12:12" x14ac:dyDescent="0.2">
      <c r="L744" s="6"/>
    </row>
    <row r="745" spans="12:12" x14ac:dyDescent="0.2">
      <c r="L745" s="6"/>
    </row>
    <row r="746" spans="12:12" x14ac:dyDescent="0.2">
      <c r="L746" s="6"/>
    </row>
    <row r="747" spans="12:12" x14ac:dyDescent="0.2">
      <c r="L747" s="6"/>
    </row>
    <row r="748" spans="12:12" x14ac:dyDescent="0.2">
      <c r="L748" s="6"/>
    </row>
    <row r="749" spans="12:12" x14ac:dyDescent="0.2">
      <c r="L749" s="6"/>
    </row>
    <row r="750" spans="12:12" x14ac:dyDescent="0.2">
      <c r="L750" s="6"/>
    </row>
    <row r="751" spans="12:12" x14ac:dyDescent="0.2">
      <c r="L751" s="6"/>
    </row>
    <row r="752" spans="12:12" x14ac:dyDescent="0.2">
      <c r="L752" s="6"/>
    </row>
    <row r="753" spans="12:12" x14ac:dyDescent="0.2">
      <c r="L753" s="6"/>
    </row>
    <row r="754" spans="12:12" x14ac:dyDescent="0.2">
      <c r="L754" s="6"/>
    </row>
    <row r="755" spans="12:12" x14ac:dyDescent="0.2">
      <c r="L755" s="6"/>
    </row>
    <row r="756" spans="12:12" x14ac:dyDescent="0.2">
      <c r="L756" s="6"/>
    </row>
    <row r="757" spans="12:12" x14ac:dyDescent="0.2">
      <c r="L757" s="6"/>
    </row>
    <row r="758" spans="12:12" x14ac:dyDescent="0.2">
      <c r="L758" s="6"/>
    </row>
    <row r="759" spans="12:12" x14ac:dyDescent="0.2">
      <c r="L759" s="6"/>
    </row>
    <row r="760" spans="12:12" x14ac:dyDescent="0.2">
      <c r="L760" s="6"/>
    </row>
    <row r="761" spans="12:12" x14ac:dyDescent="0.2">
      <c r="L761" s="6"/>
    </row>
    <row r="762" spans="12:12" x14ac:dyDescent="0.2">
      <c r="L762" s="6"/>
    </row>
    <row r="763" spans="12:12" x14ac:dyDescent="0.2">
      <c r="L763" s="6"/>
    </row>
    <row r="764" spans="12:12" x14ac:dyDescent="0.2">
      <c r="L764" s="6"/>
    </row>
    <row r="765" spans="12:12" x14ac:dyDescent="0.2">
      <c r="L765" s="6"/>
    </row>
    <row r="766" spans="12:12" x14ac:dyDescent="0.2">
      <c r="L766" s="6"/>
    </row>
    <row r="767" spans="12:12" x14ac:dyDescent="0.2">
      <c r="L767" s="6"/>
    </row>
    <row r="768" spans="12:12" x14ac:dyDescent="0.2">
      <c r="L768" s="6"/>
    </row>
    <row r="769" spans="12:12" x14ac:dyDescent="0.2">
      <c r="L769" s="6"/>
    </row>
    <row r="770" spans="12:12" x14ac:dyDescent="0.2">
      <c r="L770" s="6"/>
    </row>
    <row r="771" spans="12:12" x14ac:dyDescent="0.2">
      <c r="L771" s="6"/>
    </row>
    <row r="772" spans="12:12" x14ac:dyDescent="0.2">
      <c r="L772" s="6"/>
    </row>
    <row r="773" spans="12:12" x14ac:dyDescent="0.2">
      <c r="L773" s="6"/>
    </row>
    <row r="774" spans="12:12" x14ac:dyDescent="0.2">
      <c r="L774" s="6"/>
    </row>
    <row r="775" spans="12:12" x14ac:dyDescent="0.2">
      <c r="L775" s="6"/>
    </row>
    <row r="776" spans="12:12" x14ac:dyDescent="0.2">
      <c r="L776" s="6"/>
    </row>
    <row r="777" spans="12:12" x14ac:dyDescent="0.2">
      <c r="L777" s="6"/>
    </row>
    <row r="778" spans="12:12" x14ac:dyDescent="0.2">
      <c r="L778" s="6"/>
    </row>
    <row r="779" spans="12:12" x14ac:dyDescent="0.2">
      <c r="L779" s="6"/>
    </row>
    <row r="780" spans="12:12" x14ac:dyDescent="0.2">
      <c r="L780" s="6"/>
    </row>
    <row r="781" spans="12:12" x14ac:dyDescent="0.2">
      <c r="L781" s="6"/>
    </row>
    <row r="782" spans="12:12" x14ac:dyDescent="0.2">
      <c r="L782" s="6"/>
    </row>
    <row r="783" spans="12:12" x14ac:dyDescent="0.2">
      <c r="L783" s="6"/>
    </row>
    <row r="784" spans="12:12" x14ac:dyDescent="0.2">
      <c r="L784" s="6"/>
    </row>
    <row r="785" spans="12:12" x14ac:dyDescent="0.2">
      <c r="L785" s="6"/>
    </row>
    <row r="786" spans="12:12" x14ac:dyDescent="0.2">
      <c r="L786" s="6"/>
    </row>
    <row r="787" spans="12:12" x14ac:dyDescent="0.2">
      <c r="L787" s="6"/>
    </row>
    <row r="788" spans="12:12" x14ac:dyDescent="0.2">
      <c r="L788" s="6"/>
    </row>
    <row r="789" spans="12:12" x14ac:dyDescent="0.2">
      <c r="L789" s="6"/>
    </row>
    <row r="790" spans="12:12" x14ac:dyDescent="0.2">
      <c r="L790" s="6"/>
    </row>
    <row r="791" spans="12:12" x14ac:dyDescent="0.2">
      <c r="L791" s="6"/>
    </row>
    <row r="792" spans="12:12" x14ac:dyDescent="0.2">
      <c r="L792" s="6"/>
    </row>
    <row r="793" spans="12:12" x14ac:dyDescent="0.2">
      <c r="L793" s="6"/>
    </row>
    <row r="794" spans="12:12" x14ac:dyDescent="0.2">
      <c r="L794" s="6"/>
    </row>
    <row r="795" spans="12:12" x14ac:dyDescent="0.2">
      <c r="L795" s="6"/>
    </row>
    <row r="796" spans="12:12" x14ac:dyDescent="0.2">
      <c r="L796" s="6"/>
    </row>
    <row r="797" spans="12:12" x14ac:dyDescent="0.2">
      <c r="L797" s="6"/>
    </row>
    <row r="798" spans="12:12" x14ac:dyDescent="0.2">
      <c r="L798" s="6"/>
    </row>
    <row r="799" spans="12:12" x14ac:dyDescent="0.2">
      <c r="L799" s="6"/>
    </row>
    <row r="800" spans="12:12" x14ac:dyDescent="0.2">
      <c r="L800" s="6"/>
    </row>
    <row r="801" spans="12:12" x14ac:dyDescent="0.2">
      <c r="L801" s="6"/>
    </row>
    <row r="802" spans="12:12" x14ac:dyDescent="0.2">
      <c r="L802" s="6"/>
    </row>
    <row r="803" spans="12:12" x14ac:dyDescent="0.2">
      <c r="L803" s="6"/>
    </row>
    <row r="804" spans="12:12" x14ac:dyDescent="0.2">
      <c r="L804" s="6"/>
    </row>
    <row r="805" spans="12:12" x14ac:dyDescent="0.2">
      <c r="L805" s="6"/>
    </row>
    <row r="806" spans="12:12" x14ac:dyDescent="0.2">
      <c r="L806" s="6"/>
    </row>
    <row r="807" spans="12:12" x14ac:dyDescent="0.2">
      <c r="L807" s="6"/>
    </row>
    <row r="808" spans="12:12" x14ac:dyDescent="0.2">
      <c r="L808" s="6"/>
    </row>
    <row r="809" spans="12:12" x14ac:dyDescent="0.2">
      <c r="L809" s="6"/>
    </row>
    <row r="810" spans="12:12" x14ac:dyDescent="0.2">
      <c r="L810" s="6"/>
    </row>
    <row r="811" spans="12:12" x14ac:dyDescent="0.2">
      <c r="L811" s="6"/>
    </row>
    <row r="812" spans="12:12" x14ac:dyDescent="0.2">
      <c r="L812" s="6"/>
    </row>
    <row r="813" spans="12:12" x14ac:dyDescent="0.2">
      <c r="L813" s="6"/>
    </row>
    <row r="814" spans="12:12" x14ac:dyDescent="0.2">
      <c r="L814" s="6"/>
    </row>
    <row r="815" spans="12:12" x14ac:dyDescent="0.2">
      <c r="L815" s="6"/>
    </row>
    <row r="816" spans="12:12" x14ac:dyDescent="0.2">
      <c r="L816" s="6"/>
    </row>
    <row r="817" spans="12:12" x14ac:dyDescent="0.2">
      <c r="L817" s="6"/>
    </row>
    <row r="818" spans="12:12" x14ac:dyDescent="0.2">
      <c r="L818" s="6"/>
    </row>
    <row r="819" spans="12:12" x14ac:dyDescent="0.2">
      <c r="L819" s="6"/>
    </row>
    <row r="820" spans="12:12" x14ac:dyDescent="0.2">
      <c r="L820" s="6"/>
    </row>
    <row r="821" spans="12:12" x14ac:dyDescent="0.2">
      <c r="L821" s="6"/>
    </row>
    <row r="822" spans="12:12" x14ac:dyDescent="0.2">
      <c r="L822" s="6"/>
    </row>
    <row r="823" spans="12:12" x14ac:dyDescent="0.2">
      <c r="L823" s="6"/>
    </row>
    <row r="824" spans="12:12" x14ac:dyDescent="0.2">
      <c r="L824" s="6"/>
    </row>
    <row r="825" spans="12:12" x14ac:dyDescent="0.2">
      <c r="L825" s="6"/>
    </row>
    <row r="826" spans="12:12" x14ac:dyDescent="0.2">
      <c r="L826" s="6"/>
    </row>
    <row r="827" spans="12:12" x14ac:dyDescent="0.2">
      <c r="L827" s="6"/>
    </row>
    <row r="828" spans="12:12" x14ac:dyDescent="0.2">
      <c r="L828" s="6"/>
    </row>
    <row r="829" spans="12:12" x14ac:dyDescent="0.2">
      <c r="L829" s="6"/>
    </row>
    <row r="830" spans="12:12" x14ac:dyDescent="0.2">
      <c r="L830" s="6"/>
    </row>
    <row r="831" spans="12:12" x14ac:dyDescent="0.2">
      <c r="L831" s="6"/>
    </row>
    <row r="832" spans="12:12" x14ac:dyDescent="0.2">
      <c r="L832" s="6"/>
    </row>
    <row r="833" spans="12:12" x14ac:dyDescent="0.2">
      <c r="L833" s="6"/>
    </row>
    <row r="834" spans="12:12" x14ac:dyDescent="0.2">
      <c r="L834" s="6"/>
    </row>
    <row r="835" spans="12:12" x14ac:dyDescent="0.2">
      <c r="L835" s="6"/>
    </row>
    <row r="836" spans="12:12" x14ac:dyDescent="0.2">
      <c r="L836" s="6"/>
    </row>
    <row r="837" spans="12:12" x14ac:dyDescent="0.2">
      <c r="L837" s="6"/>
    </row>
    <row r="838" spans="12:12" x14ac:dyDescent="0.2">
      <c r="L838" s="6"/>
    </row>
    <row r="839" spans="12:12" x14ac:dyDescent="0.2">
      <c r="L839" s="6"/>
    </row>
    <row r="840" spans="12:12" x14ac:dyDescent="0.2">
      <c r="L840" s="6"/>
    </row>
    <row r="841" spans="12:12" x14ac:dyDescent="0.2">
      <c r="L841" s="6"/>
    </row>
    <row r="842" spans="12:12" x14ac:dyDescent="0.2">
      <c r="L842" s="6"/>
    </row>
    <row r="843" spans="12:12" x14ac:dyDescent="0.2">
      <c r="L843" s="6"/>
    </row>
    <row r="844" spans="12:12" x14ac:dyDescent="0.2">
      <c r="L844" s="6"/>
    </row>
    <row r="845" spans="12:12" x14ac:dyDescent="0.2">
      <c r="L845" s="6"/>
    </row>
    <row r="846" spans="12:12" x14ac:dyDescent="0.2">
      <c r="L846" s="6"/>
    </row>
    <row r="847" spans="12:12" x14ac:dyDescent="0.2">
      <c r="L847" s="6"/>
    </row>
    <row r="848" spans="12:12" x14ac:dyDescent="0.2">
      <c r="L848" s="6"/>
    </row>
    <row r="849" spans="12:12" x14ac:dyDescent="0.2">
      <c r="L849" s="6"/>
    </row>
    <row r="850" spans="12:12" x14ac:dyDescent="0.2">
      <c r="L850" s="6"/>
    </row>
    <row r="851" spans="12:12" x14ac:dyDescent="0.2">
      <c r="L851" s="6"/>
    </row>
    <row r="852" spans="12:12" x14ac:dyDescent="0.2">
      <c r="L852" s="6"/>
    </row>
    <row r="853" spans="12:12" x14ac:dyDescent="0.2">
      <c r="L853" s="6"/>
    </row>
    <row r="854" spans="12:12" x14ac:dyDescent="0.2">
      <c r="L854" s="6"/>
    </row>
    <row r="855" spans="12:12" x14ac:dyDescent="0.2">
      <c r="L855" s="6"/>
    </row>
    <row r="856" spans="12:12" x14ac:dyDescent="0.2">
      <c r="L856" s="6"/>
    </row>
    <row r="857" spans="12:12" x14ac:dyDescent="0.2">
      <c r="L857" s="6"/>
    </row>
    <row r="858" spans="12:12" x14ac:dyDescent="0.2">
      <c r="L858" s="6"/>
    </row>
    <row r="859" spans="12:12" x14ac:dyDescent="0.2">
      <c r="L859" s="6"/>
    </row>
    <row r="860" spans="12:12" x14ac:dyDescent="0.2">
      <c r="L860" s="6"/>
    </row>
    <row r="861" spans="12:12" x14ac:dyDescent="0.2">
      <c r="L861" s="6"/>
    </row>
    <row r="862" spans="12:12" x14ac:dyDescent="0.2">
      <c r="L862" s="6"/>
    </row>
    <row r="863" spans="12:12" x14ac:dyDescent="0.2">
      <c r="L863" s="6"/>
    </row>
    <row r="864" spans="12:12" x14ac:dyDescent="0.2">
      <c r="L864" s="6"/>
    </row>
    <row r="865" spans="12:12" x14ac:dyDescent="0.2">
      <c r="L865" s="6"/>
    </row>
    <row r="866" spans="12:12" x14ac:dyDescent="0.2">
      <c r="L866" s="6"/>
    </row>
    <row r="867" spans="12:12" x14ac:dyDescent="0.2">
      <c r="L867" s="6"/>
    </row>
    <row r="868" spans="12:12" x14ac:dyDescent="0.2">
      <c r="L868" s="6"/>
    </row>
    <row r="869" spans="12:12" x14ac:dyDescent="0.2">
      <c r="L869" s="6"/>
    </row>
    <row r="870" spans="12:12" x14ac:dyDescent="0.2">
      <c r="L870" s="6"/>
    </row>
    <row r="871" spans="12:12" x14ac:dyDescent="0.2">
      <c r="L871" s="6"/>
    </row>
    <row r="872" spans="12:12" x14ac:dyDescent="0.2">
      <c r="L872" s="6"/>
    </row>
    <row r="873" spans="12:12" x14ac:dyDescent="0.2">
      <c r="L873" s="6"/>
    </row>
    <row r="874" spans="12:12" x14ac:dyDescent="0.2">
      <c r="L874" s="6"/>
    </row>
    <row r="875" spans="12:12" x14ac:dyDescent="0.2">
      <c r="L875" s="6"/>
    </row>
    <row r="876" spans="12:12" x14ac:dyDescent="0.2">
      <c r="L876" s="6"/>
    </row>
    <row r="877" spans="12:12" x14ac:dyDescent="0.2">
      <c r="L877" s="6"/>
    </row>
    <row r="878" spans="12:12" x14ac:dyDescent="0.2">
      <c r="L878" s="6"/>
    </row>
    <row r="879" spans="12:12" x14ac:dyDescent="0.2">
      <c r="L879" s="6"/>
    </row>
    <row r="880" spans="12:12" x14ac:dyDescent="0.2">
      <c r="L880" s="6"/>
    </row>
    <row r="881" spans="12:12" x14ac:dyDescent="0.2">
      <c r="L881" s="6"/>
    </row>
    <row r="882" spans="12:12" x14ac:dyDescent="0.2">
      <c r="L882" s="6"/>
    </row>
    <row r="883" spans="12:12" x14ac:dyDescent="0.2">
      <c r="L883" s="6"/>
    </row>
    <row r="884" spans="12:12" x14ac:dyDescent="0.2">
      <c r="L884" s="6"/>
    </row>
    <row r="885" spans="12:12" x14ac:dyDescent="0.2">
      <c r="L885" s="6"/>
    </row>
    <row r="886" spans="12:12" x14ac:dyDescent="0.2">
      <c r="L886" s="6"/>
    </row>
    <row r="887" spans="12:12" x14ac:dyDescent="0.2">
      <c r="L887" s="6"/>
    </row>
    <row r="888" spans="12:12" x14ac:dyDescent="0.2">
      <c r="L888" s="6"/>
    </row>
    <row r="889" spans="12:12" x14ac:dyDescent="0.2">
      <c r="L889" s="6"/>
    </row>
    <row r="890" spans="12:12" x14ac:dyDescent="0.2">
      <c r="L890" s="6"/>
    </row>
    <row r="891" spans="12:12" x14ac:dyDescent="0.2">
      <c r="L891" s="6"/>
    </row>
    <row r="892" spans="12:12" x14ac:dyDescent="0.2">
      <c r="L892" s="6"/>
    </row>
    <row r="893" spans="12:12" x14ac:dyDescent="0.2">
      <c r="L893" s="6"/>
    </row>
    <row r="894" spans="12:12" x14ac:dyDescent="0.2">
      <c r="L894" s="6"/>
    </row>
    <row r="895" spans="12:12" x14ac:dyDescent="0.2">
      <c r="L895" s="6"/>
    </row>
    <row r="896" spans="12:12" x14ac:dyDescent="0.2">
      <c r="L896" s="6"/>
    </row>
    <row r="897" spans="12:12" x14ac:dyDescent="0.2">
      <c r="L897" s="6"/>
    </row>
    <row r="898" spans="12:12" x14ac:dyDescent="0.2">
      <c r="L898" s="6"/>
    </row>
    <row r="899" spans="12:12" x14ac:dyDescent="0.2">
      <c r="L899" s="6"/>
    </row>
    <row r="900" spans="12:12" x14ac:dyDescent="0.2">
      <c r="L900" s="6"/>
    </row>
    <row r="901" spans="12:12" x14ac:dyDescent="0.2">
      <c r="L901" s="6"/>
    </row>
    <row r="902" spans="12:12" x14ac:dyDescent="0.2">
      <c r="L902" s="6"/>
    </row>
    <row r="903" spans="12:12" x14ac:dyDescent="0.2">
      <c r="L903" s="6"/>
    </row>
    <row r="904" spans="12:12" x14ac:dyDescent="0.2">
      <c r="L904" s="6"/>
    </row>
    <row r="905" spans="12:12" x14ac:dyDescent="0.2">
      <c r="L905" s="6"/>
    </row>
    <row r="906" spans="12:12" x14ac:dyDescent="0.2">
      <c r="L906" s="6"/>
    </row>
    <row r="907" spans="12:12" x14ac:dyDescent="0.2">
      <c r="L907" s="6"/>
    </row>
    <row r="908" spans="12:12" x14ac:dyDescent="0.2">
      <c r="L908" s="6"/>
    </row>
    <row r="909" spans="12:12" x14ac:dyDescent="0.2">
      <c r="L909" s="6"/>
    </row>
    <row r="910" spans="12:12" x14ac:dyDescent="0.2">
      <c r="L910" s="6"/>
    </row>
    <row r="911" spans="12:12" x14ac:dyDescent="0.2">
      <c r="L911" s="6"/>
    </row>
    <row r="912" spans="12:12" x14ac:dyDescent="0.2">
      <c r="L912" s="6"/>
    </row>
    <row r="913" spans="12:12" x14ac:dyDescent="0.2">
      <c r="L913" s="6"/>
    </row>
    <row r="914" spans="12:12" x14ac:dyDescent="0.2">
      <c r="L914" s="6"/>
    </row>
    <row r="915" spans="12:12" x14ac:dyDescent="0.2">
      <c r="L915" s="6"/>
    </row>
    <row r="916" spans="12:12" x14ac:dyDescent="0.2">
      <c r="L916" s="6"/>
    </row>
    <row r="917" spans="12:12" x14ac:dyDescent="0.2">
      <c r="L917" s="6"/>
    </row>
    <row r="918" spans="12:12" x14ac:dyDescent="0.2">
      <c r="L918" s="6"/>
    </row>
    <row r="919" spans="12:12" x14ac:dyDescent="0.2">
      <c r="L919" s="6"/>
    </row>
    <row r="920" spans="12:12" x14ac:dyDescent="0.2">
      <c r="L920" s="6"/>
    </row>
    <row r="921" spans="12:12" x14ac:dyDescent="0.2">
      <c r="L921" s="6"/>
    </row>
    <row r="922" spans="12:12" x14ac:dyDescent="0.2">
      <c r="L922" s="6"/>
    </row>
    <row r="923" spans="12:12" x14ac:dyDescent="0.2">
      <c r="L923" s="6"/>
    </row>
    <row r="924" spans="12:12" x14ac:dyDescent="0.2">
      <c r="L924" s="6"/>
    </row>
    <row r="925" spans="12:12" x14ac:dyDescent="0.2">
      <c r="L925" s="6"/>
    </row>
    <row r="926" spans="12:12" x14ac:dyDescent="0.2">
      <c r="L926" s="6"/>
    </row>
    <row r="927" spans="12:12" x14ac:dyDescent="0.2">
      <c r="L927" s="6"/>
    </row>
    <row r="928" spans="12:12" x14ac:dyDescent="0.2">
      <c r="L928" s="6"/>
    </row>
    <row r="929" spans="12:12" x14ac:dyDescent="0.2">
      <c r="L929" s="6"/>
    </row>
    <row r="930" spans="12:12" x14ac:dyDescent="0.2">
      <c r="L930" s="6"/>
    </row>
    <row r="931" spans="12:12" x14ac:dyDescent="0.2">
      <c r="L931" s="6"/>
    </row>
    <row r="932" spans="12:12" x14ac:dyDescent="0.2">
      <c r="L932" s="6"/>
    </row>
    <row r="933" spans="12:12" x14ac:dyDescent="0.2">
      <c r="L933" s="6"/>
    </row>
    <row r="934" spans="12:12" x14ac:dyDescent="0.2">
      <c r="L934" s="6"/>
    </row>
    <row r="935" spans="12:12" x14ac:dyDescent="0.2">
      <c r="L935" s="6"/>
    </row>
    <row r="936" spans="12:12" x14ac:dyDescent="0.2">
      <c r="L936" s="6"/>
    </row>
    <row r="937" spans="12:12" x14ac:dyDescent="0.2">
      <c r="L937" s="6"/>
    </row>
    <row r="938" spans="12:12" x14ac:dyDescent="0.2">
      <c r="L938" s="6"/>
    </row>
    <row r="939" spans="12:12" x14ac:dyDescent="0.2">
      <c r="L939" s="6"/>
    </row>
    <row r="940" spans="12:12" x14ac:dyDescent="0.2">
      <c r="L940" s="6"/>
    </row>
    <row r="941" spans="12:12" x14ac:dyDescent="0.2">
      <c r="L941" s="6"/>
    </row>
    <row r="942" spans="12:12" x14ac:dyDescent="0.2">
      <c r="L942" s="6"/>
    </row>
    <row r="943" spans="12:12" x14ac:dyDescent="0.2">
      <c r="L943" s="6"/>
    </row>
    <row r="944" spans="12:12" x14ac:dyDescent="0.2">
      <c r="L944" s="6"/>
    </row>
    <row r="945" spans="12:12" x14ac:dyDescent="0.2">
      <c r="L945" s="6"/>
    </row>
    <row r="946" spans="12:12" x14ac:dyDescent="0.2">
      <c r="L946" s="6"/>
    </row>
    <row r="947" spans="12:12" x14ac:dyDescent="0.2">
      <c r="L947" s="6"/>
    </row>
    <row r="948" spans="12:12" x14ac:dyDescent="0.2">
      <c r="L948" s="6"/>
    </row>
  </sheetData>
  <hyperlinks>
    <hyperlink ref="G8" r:id="rId1" xr:uid="{00000000-0004-0000-0000-000000000000}"/>
    <hyperlink ref="G17" r:id="rId2" xr:uid="{00000000-0004-0000-0000-000001000000}"/>
    <hyperlink ref="G21" r:id="rId3" xr:uid="{00000000-0004-0000-0000-000002000000}"/>
    <hyperlink ref="G22" r:id="rId4" xr:uid="{00000000-0004-0000-0000-000003000000}"/>
    <hyperlink ref="G23" r:id="rId5" xr:uid="{00000000-0004-0000-0000-000004000000}"/>
    <hyperlink ref="G26" r:id="rId6" xr:uid="{00000000-0004-0000-0000-000005000000}"/>
    <hyperlink ref="G28" r:id="rId7" xr:uid="{00000000-0004-0000-0000-000006000000}"/>
    <hyperlink ref="G29" r:id="rId8" xr:uid="{00000000-0004-0000-0000-000007000000}"/>
    <hyperlink ref="G30" r:id="rId9" xr:uid="{00000000-0004-0000-0000-000008000000}"/>
    <hyperlink ref="G34" r:id="rId10" xr:uid="{00000000-0004-0000-0000-000009000000}"/>
    <hyperlink ref="G36" r:id="rId11" xr:uid="{00000000-0004-0000-0000-00000A000000}"/>
    <hyperlink ref="G37" r:id="rId12" xr:uid="{00000000-0004-0000-0000-00000B000000}"/>
    <hyperlink ref="G38" r:id="rId13" xr:uid="{00000000-0004-0000-0000-00000C000000}"/>
    <hyperlink ref="G39" r:id="rId14" xr:uid="{00000000-0004-0000-0000-00000D000000}"/>
    <hyperlink ref="G46" r:id="rId15" xr:uid="{00000000-0004-0000-0000-00000E000000}"/>
    <hyperlink ref="G47" r:id="rId16" xr:uid="{00000000-0004-0000-0000-00000F000000}"/>
    <hyperlink ref="G49" r:id="rId17" xr:uid="{00000000-0004-0000-0000-000010000000}"/>
    <hyperlink ref="G52" r:id="rId18" xr:uid="{00000000-0004-0000-0000-000011000000}"/>
    <hyperlink ref="G54" r:id="rId19" xr:uid="{00000000-0004-0000-0000-000012000000}"/>
    <hyperlink ref="G55" r:id="rId20" xr:uid="{00000000-0004-0000-0000-000013000000}"/>
    <hyperlink ref="G61" r:id="rId21" xr:uid="{00000000-0004-0000-0000-000014000000}"/>
    <hyperlink ref="G65" r:id="rId22" xr:uid="{00000000-0004-0000-0000-000015000000}"/>
  </hyperlinks>
  <printOptions horizontalCentered="1" gridLines="1"/>
  <pageMargins left="0.7" right="0.7" top="0.75" bottom="0.75" header="0" footer="0"/>
  <pageSetup paperSize="3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v1.2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Garrett Tetil</cp:lastModifiedBy>
  <dcterms:modified xsi:type="dcterms:W3CDTF">2025-12-03T21:20:52Z</dcterms:modified>
</cp:coreProperties>
</file>